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.adam-yakuba.n.d./Desktop/PLACEMENT OPTION/"/>
    </mc:Choice>
  </mc:AlternateContent>
  <xr:revisionPtr revIDLastSave="0" documentId="13_ncr:1_{3BA9C4DD-C800-084A-898E-D4F20ADE0152}" xr6:coauthVersionLast="47" xr6:coauthVersionMax="47" xr10:uidLastSave="{00000000-0000-0000-0000-000000000000}"/>
  <bookViews>
    <workbookView xWindow="0" yWindow="860" windowWidth="41120" windowHeight="25720" activeTab="4" xr2:uid="{00000000-000D-0000-FFFF-FFFF00000000}"/>
  </bookViews>
  <sheets>
    <sheet name="SHEET 1" sheetId="6" r:id="rId1"/>
    <sheet name="SHEET 2" sheetId="3" r:id="rId2"/>
    <sheet name="SHEET 3" sheetId="7" r:id="rId3"/>
    <sheet name="SHEET 4" sheetId="8" r:id="rId4"/>
    <sheet name="SHEET 5" sheetId="1" r:id="rId5"/>
    <sheet name="3 Years" sheetId="2" r:id="rId6"/>
    <sheet name="Sheet3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8" l="1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3" i="8"/>
  <c r="H18" i="8"/>
  <c r="K17" i="8"/>
  <c r="G17" i="8"/>
  <c r="E17" i="8"/>
  <c r="K16" i="8"/>
  <c r="G16" i="8"/>
  <c r="E16" i="8"/>
  <c r="K15" i="8"/>
  <c r="G15" i="8"/>
  <c r="E15" i="8"/>
  <c r="K14" i="8"/>
  <c r="G14" i="8"/>
  <c r="E14" i="8"/>
  <c r="K13" i="8"/>
  <c r="G13" i="8"/>
  <c r="E13" i="8"/>
  <c r="K12" i="8"/>
  <c r="G12" i="8"/>
  <c r="E12" i="8"/>
  <c r="K11" i="8"/>
  <c r="G11" i="8"/>
  <c r="E11" i="8"/>
  <c r="K10" i="8"/>
  <c r="G10" i="8"/>
  <c r="K9" i="8"/>
  <c r="G9" i="8"/>
  <c r="K8" i="8"/>
  <c r="G8" i="8"/>
  <c r="E8" i="8"/>
  <c r="K7" i="8"/>
  <c r="G7" i="8"/>
  <c r="E7" i="8"/>
  <c r="K6" i="8"/>
  <c r="G6" i="8"/>
  <c r="E6" i="8"/>
  <c r="K5" i="8"/>
  <c r="G5" i="8"/>
  <c r="E5" i="8"/>
  <c r="K4" i="8"/>
  <c r="G4" i="8"/>
  <c r="E4" i="8"/>
  <c r="K3" i="8"/>
  <c r="K18" i="8" s="1"/>
  <c r="G3" i="8"/>
  <c r="E3" i="8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3" i="7"/>
  <c r="K18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3" i="7"/>
  <c r="G17" i="7"/>
  <c r="E17" i="7"/>
  <c r="G16" i="7"/>
  <c r="E16" i="7"/>
  <c r="G15" i="7"/>
  <c r="E15" i="7"/>
  <c r="G14" i="7"/>
  <c r="E14" i="7"/>
  <c r="G13" i="7"/>
  <c r="E13" i="7"/>
  <c r="G12" i="7"/>
  <c r="E12" i="7"/>
  <c r="G11" i="7"/>
  <c r="E11" i="7"/>
  <c r="G10" i="7"/>
  <c r="G9" i="7"/>
  <c r="G8" i="7"/>
  <c r="E8" i="7"/>
  <c r="G7" i="7"/>
  <c r="E7" i="7"/>
  <c r="G6" i="7"/>
  <c r="E6" i="7"/>
  <c r="G5" i="7"/>
  <c r="E5" i="7"/>
  <c r="G4" i="7"/>
  <c r="E4" i="7"/>
  <c r="G3" i="7"/>
  <c r="E3" i="7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3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H8" i="3"/>
  <c r="H16" i="3"/>
  <c r="H17" i="3"/>
  <c r="H18" i="6"/>
  <c r="L17" i="6"/>
  <c r="K17" i="6"/>
  <c r="G17" i="6"/>
  <c r="E17" i="6"/>
  <c r="L16" i="6"/>
  <c r="K16" i="6"/>
  <c r="G16" i="6"/>
  <c r="E16" i="6"/>
  <c r="L15" i="6"/>
  <c r="K15" i="6"/>
  <c r="G15" i="6"/>
  <c r="E15" i="6"/>
  <c r="L14" i="6"/>
  <c r="K14" i="6"/>
  <c r="G14" i="6"/>
  <c r="E14" i="6"/>
  <c r="L13" i="6"/>
  <c r="K13" i="6"/>
  <c r="G13" i="6"/>
  <c r="E13" i="6"/>
  <c r="L12" i="6"/>
  <c r="K12" i="6"/>
  <c r="G12" i="6"/>
  <c r="E12" i="6"/>
  <c r="L11" i="6"/>
  <c r="K11" i="6"/>
  <c r="G11" i="6"/>
  <c r="E11" i="6"/>
  <c r="L10" i="6"/>
  <c r="K10" i="6"/>
  <c r="G10" i="6"/>
  <c r="L9" i="6"/>
  <c r="K9" i="6"/>
  <c r="G9" i="6"/>
  <c r="L8" i="6"/>
  <c r="K8" i="6"/>
  <c r="G8" i="6"/>
  <c r="E8" i="6"/>
  <c r="L7" i="6"/>
  <c r="K7" i="6"/>
  <c r="G7" i="6"/>
  <c r="E7" i="6"/>
  <c r="L6" i="6"/>
  <c r="K6" i="6"/>
  <c r="G6" i="6"/>
  <c r="E6" i="6"/>
  <c r="L5" i="6"/>
  <c r="K5" i="6"/>
  <c r="G5" i="6"/>
  <c r="E5" i="6"/>
  <c r="L4" i="6"/>
  <c r="K4" i="6"/>
  <c r="G4" i="6"/>
  <c r="E4" i="6"/>
  <c r="L3" i="6"/>
  <c r="K3" i="6"/>
  <c r="K18" i="6" s="1"/>
  <c r="G3" i="6"/>
  <c r="E3" i="6"/>
  <c r="P4" i="2"/>
  <c r="P5" i="2"/>
  <c r="Q5" i="2" s="1"/>
  <c r="P6" i="2"/>
  <c r="P7" i="2"/>
  <c r="P8" i="2"/>
  <c r="P9" i="2"/>
  <c r="P10" i="2"/>
  <c r="P11" i="2"/>
  <c r="P12" i="2"/>
  <c r="P13" i="2"/>
  <c r="P14" i="2"/>
  <c r="P15" i="2"/>
  <c r="P16" i="2"/>
  <c r="P17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3" i="2"/>
  <c r="N4" i="2"/>
  <c r="N5" i="2"/>
  <c r="N6" i="2"/>
  <c r="N7" i="2"/>
  <c r="Q7" i="2" s="1"/>
  <c r="N8" i="2"/>
  <c r="N9" i="2"/>
  <c r="N10" i="2"/>
  <c r="N11" i="2"/>
  <c r="N12" i="2"/>
  <c r="N13" i="2"/>
  <c r="N14" i="2"/>
  <c r="N15" i="2"/>
  <c r="N16" i="2"/>
  <c r="N17" i="2"/>
  <c r="N3" i="2"/>
  <c r="Q8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3" i="2"/>
  <c r="Q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3" i="2"/>
  <c r="C8" i="4"/>
  <c r="D8" i="4"/>
  <c r="B8" i="4"/>
  <c r="D7" i="4"/>
  <c r="C7" i="4"/>
  <c r="B7" i="4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G9" i="3"/>
  <c r="G8" i="3"/>
  <c r="E8" i="3"/>
  <c r="G7" i="3"/>
  <c r="E7" i="3"/>
  <c r="G6" i="3"/>
  <c r="E6" i="3"/>
  <c r="G5" i="3"/>
  <c r="E5" i="3"/>
  <c r="G4" i="3"/>
  <c r="E4" i="3"/>
  <c r="G3" i="3"/>
  <c r="E3" i="3"/>
  <c r="Q4" i="2"/>
  <c r="Q6" i="2"/>
  <c r="Q16" i="2"/>
  <c r="Q17" i="2"/>
  <c r="E6" i="2"/>
  <c r="E17" i="2"/>
  <c r="E16" i="2"/>
  <c r="E15" i="2"/>
  <c r="E14" i="2"/>
  <c r="E13" i="2"/>
  <c r="E12" i="2"/>
  <c r="E11" i="2"/>
  <c r="E10" i="2"/>
  <c r="E9" i="2"/>
  <c r="E8" i="2"/>
  <c r="E7" i="2"/>
  <c r="E5" i="2"/>
  <c r="E4" i="2"/>
  <c r="E3" i="2"/>
  <c r="H18" i="7" l="1"/>
  <c r="H18" i="3"/>
  <c r="Q10" i="2"/>
  <c r="Q15" i="2"/>
  <c r="Q11" i="2"/>
  <c r="Q9" i="2"/>
  <c r="Q14" i="2"/>
  <c r="Q13" i="2"/>
  <c r="Q12" i="2"/>
</calcChain>
</file>

<file path=xl/sharedStrings.xml><?xml version="1.0" encoding="utf-8"?>
<sst xmlns="http://schemas.openxmlformats.org/spreadsheetml/2006/main" count="159" uniqueCount="54">
  <si>
    <t>Reagent Volume/test</t>
  </si>
  <si>
    <t>Number of test/pack</t>
  </si>
  <si>
    <t>Reagents Name</t>
  </si>
  <si>
    <t>Reagent Price /pack</t>
  </si>
  <si>
    <t>Total Reagent Volume
（ml）/Pack</t>
  </si>
  <si>
    <t>ALB</t>
  </si>
  <si>
    <t>TP</t>
  </si>
  <si>
    <t>ALP</t>
  </si>
  <si>
    <t>ALT</t>
  </si>
  <si>
    <t>AST</t>
  </si>
  <si>
    <t>TBIL</t>
  </si>
  <si>
    <t>DBIL</t>
  </si>
  <si>
    <t>GGT</t>
  </si>
  <si>
    <t>CHOL</t>
  </si>
  <si>
    <t>HDL-C</t>
  </si>
  <si>
    <t>LDL-C</t>
  </si>
  <si>
    <t>TG</t>
  </si>
  <si>
    <t>CREA</t>
  </si>
  <si>
    <t>UA</t>
  </si>
  <si>
    <t>UREA</t>
  </si>
  <si>
    <t>Reagents Price /Test</t>
  </si>
  <si>
    <t>Reagent Price /pack (COGS/PK)</t>
  </si>
  <si>
    <t>n=3</t>
  </si>
  <si>
    <t>Number of test/pack (R_j)</t>
  </si>
  <si>
    <t>Number of Pack (Q_j) for 3 years</t>
  </si>
  <si>
    <t>Total Test /3 years</t>
  </si>
  <si>
    <t>Total Test /Month</t>
  </si>
  <si>
    <t>Average Purchase of Pack/every 4 Month</t>
  </si>
  <si>
    <t>Total Reagent Price /3yrs (total COGS)</t>
  </si>
  <si>
    <t>Reagent Selling Price /3yrs (total COGS)</t>
  </si>
  <si>
    <t>20% Profit Margin</t>
  </si>
  <si>
    <t>Reagent Selling Price /pack</t>
  </si>
  <si>
    <t>Months</t>
  </si>
  <si>
    <t>Jan</t>
  </si>
  <si>
    <t>Feb.</t>
  </si>
  <si>
    <t>Mar</t>
  </si>
  <si>
    <t>April</t>
  </si>
  <si>
    <t>May</t>
  </si>
  <si>
    <t>KFT</t>
  </si>
  <si>
    <t>LFT</t>
  </si>
  <si>
    <t>LIPID</t>
  </si>
  <si>
    <t>Average</t>
  </si>
  <si>
    <t>∑Q_j=85</t>
  </si>
  <si>
    <t>COGS=5901.87</t>
  </si>
  <si>
    <t>Average Purchase of Pack/every 5 Month</t>
  </si>
  <si>
    <t>Total Test COGS  for 3 years</t>
  </si>
  <si>
    <t>Number of Pack (Qj) for 3 years</t>
  </si>
  <si>
    <t>Diluent</t>
  </si>
  <si>
    <t>Lyse 1</t>
  </si>
  <si>
    <t>Dlyse 2</t>
  </si>
  <si>
    <t>Cleanser</t>
  </si>
  <si>
    <t xml:space="preserve">Background Consumption* </t>
  </si>
  <si>
    <t>Consumption (Sample testing)</t>
  </si>
  <si>
    <t>Efficiency (% of reagent used on sample analysis)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</si>
</sst>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8"/>
      <name val="American Typewriter"/>
      <family val="1"/>
    </font>
    <font>
      <sz val="8"/>
      <color rgb="FF000000"/>
      <name val="American Typewriter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American Typewriter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4" fillId="0" borderId="0" xfId="0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top"/>
    </xf>
    <xf numFmtId="0" fontId="3" fillId="0" borderId="3" xfId="0" applyFont="1" applyFill="1" applyBorder="1" applyAlignment="1">
      <alignment horizontal="center" wrapText="1"/>
    </xf>
    <xf numFmtId="9" fontId="3" fillId="0" borderId="3" xfId="1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top" wrapText="1"/>
    </xf>
    <xf numFmtId="3" fontId="3" fillId="0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top" shrinkToFit="1"/>
    </xf>
    <xf numFmtId="164" fontId="3" fillId="0" borderId="3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11</xdr:col>
      <xdr:colOff>304800</xdr:colOff>
      <xdr:row>19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1CAC4-5785-4323-5352-FA83CAD1B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9000" y="3581400"/>
          <a:ext cx="12319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CD0C-D93F-5346-BB31-7D7C4A395FEF}">
  <dimension ref="B2:M26"/>
  <sheetViews>
    <sheetView topLeftCell="C1" zoomScale="288" workbookViewId="0">
      <selection activeCell="D22" sqref="D22"/>
    </sheetView>
  </sheetViews>
  <sheetFormatPr baseColWidth="10" defaultRowHeight="13" x14ac:dyDescent="0.15"/>
  <cols>
    <col min="2" max="8" width="11" style="10"/>
    <col min="9" max="9" width="14" customWidth="1"/>
    <col min="10" max="10" width="14" style="10" customWidth="1"/>
    <col min="11" max="11" width="12.796875" style="10" customWidth="1"/>
    <col min="12" max="12" width="14" style="14" customWidth="1"/>
    <col min="13" max="13" width="11" style="10"/>
  </cols>
  <sheetData>
    <row r="2" spans="2:13" ht="38" customHeight="1" x14ac:dyDescent="0.15">
      <c r="B2" s="2" t="s">
        <v>2</v>
      </c>
      <c r="C2" s="2" t="s">
        <v>4</v>
      </c>
      <c r="D2" s="2" t="s">
        <v>23</v>
      </c>
      <c r="E2" s="2" t="s">
        <v>0</v>
      </c>
      <c r="F2" s="2" t="s">
        <v>26</v>
      </c>
      <c r="G2" s="2" t="s">
        <v>25</v>
      </c>
      <c r="H2" s="2" t="s">
        <v>46</v>
      </c>
      <c r="I2" s="3" t="s">
        <v>3</v>
      </c>
      <c r="J2" s="2" t="s">
        <v>27</v>
      </c>
      <c r="K2" s="2" t="s">
        <v>45</v>
      </c>
      <c r="L2" s="15" t="s">
        <v>31</v>
      </c>
      <c r="M2" s="3"/>
    </row>
    <row r="3" spans="2:13" x14ac:dyDescent="0.15">
      <c r="B3" s="4" t="s">
        <v>5</v>
      </c>
      <c r="C3" s="5">
        <v>150</v>
      </c>
      <c r="D3" s="5">
        <v>500</v>
      </c>
      <c r="E3" s="6">
        <f>C3/D3</f>
        <v>0.3</v>
      </c>
      <c r="F3" s="10">
        <v>102</v>
      </c>
      <c r="G3" s="10">
        <f>F3*36</f>
        <v>3672</v>
      </c>
      <c r="H3" s="10">
        <v>8</v>
      </c>
      <c r="I3" s="7">
        <v>23.1</v>
      </c>
      <c r="J3" s="10">
        <v>1</v>
      </c>
      <c r="K3" s="10">
        <f>H3*I3</f>
        <v>184.8</v>
      </c>
      <c r="L3" s="14">
        <f>2.7006*I3</f>
        <v>62.383860000000006</v>
      </c>
    </row>
    <row r="4" spans="2:13" x14ac:dyDescent="0.15">
      <c r="B4" s="4" t="s">
        <v>6</v>
      </c>
      <c r="C4" s="5">
        <v>150</v>
      </c>
      <c r="D4" s="5">
        <v>750</v>
      </c>
      <c r="E4" s="6">
        <f t="shared" ref="E4:E17" si="0">C4/D4</f>
        <v>0.2</v>
      </c>
      <c r="F4" s="10">
        <v>102</v>
      </c>
      <c r="G4" s="10">
        <f t="shared" ref="G4:G17" si="1">F4*36</f>
        <v>3672</v>
      </c>
      <c r="H4" s="10">
        <v>5</v>
      </c>
      <c r="I4" s="7">
        <v>31.61</v>
      </c>
      <c r="J4" s="10">
        <v>1</v>
      </c>
      <c r="K4" s="10">
        <f t="shared" ref="K4:K17" si="2">H4*I4</f>
        <v>158.05000000000001</v>
      </c>
      <c r="L4" s="14">
        <f t="shared" ref="L4:L17" si="3">2.7006*I4</f>
        <v>85.365966</v>
      </c>
    </row>
    <row r="5" spans="2:13" x14ac:dyDescent="0.15">
      <c r="B5" s="4" t="s">
        <v>7</v>
      </c>
      <c r="C5" s="5">
        <v>120</v>
      </c>
      <c r="D5" s="5">
        <v>480</v>
      </c>
      <c r="E5" s="6">
        <f t="shared" si="0"/>
        <v>0.25</v>
      </c>
      <c r="F5" s="10">
        <v>102</v>
      </c>
      <c r="G5" s="10">
        <f t="shared" si="1"/>
        <v>3672</v>
      </c>
      <c r="H5" s="10">
        <v>8</v>
      </c>
      <c r="I5" s="7">
        <v>50.43</v>
      </c>
      <c r="J5" s="10">
        <v>1</v>
      </c>
      <c r="K5" s="10">
        <f t="shared" si="2"/>
        <v>403.44</v>
      </c>
      <c r="L5" s="14">
        <f t="shared" si="3"/>
        <v>136.191258</v>
      </c>
    </row>
    <row r="6" spans="2:13" x14ac:dyDescent="0.15">
      <c r="B6" s="4" t="s">
        <v>8</v>
      </c>
      <c r="C6" s="5">
        <v>120</v>
      </c>
      <c r="D6" s="5">
        <v>480</v>
      </c>
      <c r="E6" s="6">
        <f t="shared" si="0"/>
        <v>0.25</v>
      </c>
      <c r="F6" s="10">
        <v>102</v>
      </c>
      <c r="G6" s="10">
        <f t="shared" si="1"/>
        <v>3672</v>
      </c>
      <c r="H6" s="10">
        <v>8</v>
      </c>
      <c r="I6" s="7">
        <v>32.559999999999995</v>
      </c>
      <c r="J6" s="10">
        <v>1</v>
      </c>
      <c r="K6" s="10">
        <f t="shared" si="2"/>
        <v>260.47999999999996</v>
      </c>
      <c r="L6" s="14">
        <f t="shared" si="3"/>
        <v>87.931535999999994</v>
      </c>
    </row>
    <row r="7" spans="2:13" x14ac:dyDescent="0.15">
      <c r="B7" s="4" t="s">
        <v>9</v>
      </c>
      <c r="C7" s="5">
        <v>120</v>
      </c>
      <c r="D7" s="5">
        <v>480</v>
      </c>
      <c r="E7" s="6">
        <f t="shared" si="0"/>
        <v>0.25</v>
      </c>
      <c r="F7" s="10">
        <v>102</v>
      </c>
      <c r="G7" s="10">
        <f t="shared" si="1"/>
        <v>3672</v>
      </c>
      <c r="H7" s="10">
        <v>8</v>
      </c>
      <c r="I7" s="7">
        <v>35.89</v>
      </c>
      <c r="J7" s="10">
        <v>1</v>
      </c>
      <c r="K7" s="10">
        <f t="shared" si="2"/>
        <v>287.12</v>
      </c>
      <c r="L7" s="14">
        <f t="shared" si="3"/>
        <v>96.924534000000008</v>
      </c>
    </row>
    <row r="8" spans="2:13" x14ac:dyDescent="0.15">
      <c r="B8" s="4" t="s">
        <v>10</v>
      </c>
      <c r="C8" s="5">
        <v>120</v>
      </c>
      <c r="D8" s="5">
        <v>600</v>
      </c>
      <c r="E8" s="6">
        <f t="shared" si="0"/>
        <v>0.2</v>
      </c>
      <c r="F8" s="10">
        <v>102</v>
      </c>
      <c r="G8" s="10">
        <f t="shared" si="1"/>
        <v>3672</v>
      </c>
      <c r="H8" s="10">
        <v>7</v>
      </c>
      <c r="I8" s="7">
        <v>42.06</v>
      </c>
      <c r="J8" s="10">
        <v>1</v>
      </c>
      <c r="K8" s="10">
        <f t="shared" si="2"/>
        <v>294.42</v>
      </c>
      <c r="L8" s="14">
        <f t="shared" si="3"/>
        <v>113.587236</v>
      </c>
    </row>
    <row r="9" spans="2:13" x14ac:dyDescent="0.15">
      <c r="B9" s="4" t="s">
        <v>11</v>
      </c>
      <c r="C9" s="5">
        <v>120</v>
      </c>
      <c r="D9" s="5">
        <v>490</v>
      </c>
      <c r="E9" s="6">
        <v>0.25</v>
      </c>
      <c r="F9" s="10">
        <v>102</v>
      </c>
      <c r="G9" s="10">
        <f t="shared" si="1"/>
        <v>3672</v>
      </c>
      <c r="H9" s="10">
        <v>8</v>
      </c>
      <c r="I9" s="7">
        <v>64.930000000000007</v>
      </c>
      <c r="J9" s="10">
        <v>1</v>
      </c>
      <c r="K9" s="10">
        <f t="shared" si="2"/>
        <v>519.44000000000005</v>
      </c>
      <c r="L9" s="14">
        <f t="shared" si="3"/>
        <v>175.34995800000002</v>
      </c>
    </row>
    <row r="10" spans="2:13" x14ac:dyDescent="0.15">
      <c r="B10" s="4" t="s">
        <v>12</v>
      </c>
      <c r="C10" s="5">
        <v>120</v>
      </c>
      <c r="D10" s="5">
        <v>469</v>
      </c>
      <c r="E10" s="6">
        <v>0.25</v>
      </c>
      <c r="F10" s="10">
        <v>102</v>
      </c>
      <c r="G10" s="10">
        <f t="shared" si="1"/>
        <v>3672</v>
      </c>
      <c r="H10" s="10">
        <v>8</v>
      </c>
      <c r="I10" s="7">
        <v>64.009999999999991</v>
      </c>
      <c r="J10" s="10">
        <v>1</v>
      </c>
      <c r="K10" s="10">
        <f t="shared" si="2"/>
        <v>512.07999999999993</v>
      </c>
      <c r="L10" s="14">
        <f t="shared" si="3"/>
        <v>172.86540599999998</v>
      </c>
    </row>
    <row r="11" spans="2:13" x14ac:dyDescent="0.15">
      <c r="B11" s="4" t="s">
        <v>13</v>
      </c>
      <c r="C11" s="5">
        <v>150</v>
      </c>
      <c r="D11" s="5">
        <v>750</v>
      </c>
      <c r="E11" s="6">
        <f t="shared" si="0"/>
        <v>0.2</v>
      </c>
      <c r="F11" s="10">
        <v>102</v>
      </c>
      <c r="G11" s="10">
        <f t="shared" si="1"/>
        <v>3672</v>
      </c>
      <c r="H11" s="10">
        <v>5</v>
      </c>
      <c r="I11" s="7">
        <v>53.550000000000004</v>
      </c>
      <c r="J11" s="10">
        <v>1</v>
      </c>
      <c r="K11" s="10">
        <f t="shared" si="2"/>
        <v>267.75</v>
      </c>
      <c r="L11" s="14">
        <f t="shared" si="3"/>
        <v>144.61713000000003</v>
      </c>
    </row>
    <row r="12" spans="2:13" x14ac:dyDescent="0.15">
      <c r="B12" s="8" t="s">
        <v>14</v>
      </c>
      <c r="C12" s="5">
        <v>120</v>
      </c>
      <c r="D12" s="5">
        <v>400</v>
      </c>
      <c r="E12" s="6">
        <f t="shared" si="0"/>
        <v>0.3</v>
      </c>
      <c r="F12" s="10">
        <v>102</v>
      </c>
      <c r="G12" s="10">
        <f t="shared" si="1"/>
        <v>3672</v>
      </c>
      <c r="H12" s="10">
        <v>10</v>
      </c>
      <c r="I12" s="7">
        <v>123.38</v>
      </c>
      <c r="J12" s="10">
        <v>1</v>
      </c>
      <c r="K12" s="10">
        <f t="shared" si="2"/>
        <v>1233.8</v>
      </c>
      <c r="L12" s="14">
        <f t="shared" si="3"/>
        <v>333.20002799999997</v>
      </c>
    </row>
    <row r="13" spans="2:13" x14ac:dyDescent="0.15">
      <c r="B13" s="8" t="s">
        <v>15</v>
      </c>
      <c r="C13" s="5">
        <v>120</v>
      </c>
      <c r="D13" s="5">
        <v>400</v>
      </c>
      <c r="E13" s="6">
        <f t="shared" si="0"/>
        <v>0.3</v>
      </c>
      <c r="F13" s="10">
        <v>102</v>
      </c>
      <c r="G13" s="10">
        <f t="shared" si="1"/>
        <v>3672</v>
      </c>
      <c r="H13" s="10">
        <v>10</v>
      </c>
      <c r="I13" s="7">
        <v>77.12</v>
      </c>
      <c r="J13" s="10">
        <v>1</v>
      </c>
      <c r="K13" s="10">
        <f t="shared" si="2"/>
        <v>771.2</v>
      </c>
      <c r="L13" s="14">
        <f t="shared" si="3"/>
        <v>208.27027200000003</v>
      </c>
    </row>
    <row r="14" spans="2:13" x14ac:dyDescent="0.15">
      <c r="B14" s="4" t="s">
        <v>16</v>
      </c>
      <c r="C14" s="5">
        <v>144</v>
      </c>
      <c r="D14" s="5">
        <v>720</v>
      </c>
      <c r="E14" s="6">
        <f t="shared" si="0"/>
        <v>0.2</v>
      </c>
      <c r="F14" s="10">
        <v>102</v>
      </c>
      <c r="G14" s="10">
        <f t="shared" si="1"/>
        <v>3672</v>
      </c>
      <c r="H14" s="10">
        <v>6</v>
      </c>
      <c r="I14" s="7">
        <v>106.47</v>
      </c>
      <c r="J14" s="10">
        <v>1</v>
      </c>
      <c r="K14" s="10">
        <f t="shared" si="2"/>
        <v>638.81999999999994</v>
      </c>
      <c r="L14" s="14">
        <f t="shared" si="3"/>
        <v>287.53288200000003</v>
      </c>
    </row>
    <row r="15" spans="2:13" x14ac:dyDescent="0.15">
      <c r="B15" s="4" t="s">
        <v>17</v>
      </c>
      <c r="C15" s="5">
        <v>84</v>
      </c>
      <c r="D15" s="5">
        <v>420</v>
      </c>
      <c r="E15" s="6">
        <f t="shared" si="0"/>
        <v>0.2</v>
      </c>
      <c r="F15" s="10">
        <v>102</v>
      </c>
      <c r="G15" s="10">
        <f t="shared" si="1"/>
        <v>3672</v>
      </c>
      <c r="H15" s="10">
        <v>9</v>
      </c>
      <c r="I15" s="7">
        <v>178.94</v>
      </c>
      <c r="J15" s="10">
        <v>1</v>
      </c>
      <c r="K15" s="10">
        <f t="shared" si="2"/>
        <v>1610.46</v>
      </c>
      <c r="L15" s="14">
        <f t="shared" si="3"/>
        <v>483.245364</v>
      </c>
    </row>
    <row r="16" spans="2:13" x14ac:dyDescent="0.15">
      <c r="B16" s="4" t="s">
        <v>18</v>
      </c>
      <c r="C16" s="5">
        <v>120</v>
      </c>
      <c r="D16" s="5">
        <v>600</v>
      </c>
      <c r="E16" s="6">
        <f t="shared" si="0"/>
        <v>0.2</v>
      </c>
      <c r="F16" s="10">
        <v>102</v>
      </c>
      <c r="G16" s="10">
        <f t="shared" si="1"/>
        <v>3672</v>
      </c>
      <c r="H16" s="10">
        <v>7</v>
      </c>
      <c r="I16" s="7">
        <v>46.11</v>
      </c>
      <c r="J16" s="10">
        <v>1</v>
      </c>
      <c r="K16" s="10">
        <f t="shared" si="2"/>
        <v>322.77</v>
      </c>
      <c r="L16" s="14">
        <f t="shared" si="3"/>
        <v>124.52466600000001</v>
      </c>
    </row>
    <row r="17" spans="2:12" x14ac:dyDescent="0.15">
      <c r="B17" s="4" t="s">
        <v>19</v>
      </c>
      <c r="C17" s="5">
        <v>120</v>
      </c>
      <c r="D17" s="5">
        <v>600</v>
      </c>
      <c r="E17" s="6">
        <f t="shared" si="0"/>
        <v>0.2</v>
      </c>
      <c r="F17" s="10">
        <v>102</v>
      </c>
      <c r="G17" s="10">
        <f t="shared" si="1"/>
        <v>3672</v>
      </c>
      <c r="H17" s="10">
        <v>7</v>
      </c>
      <c r="I17" s="7">
        <v>49.24</v>
      </c>
      <c r="J17" s="10">
        <v>1</v>
      </c>
      <c r="K17" s="10">
        <f t="shared" si="2"/>
        <v>344.68</v>
      </c>
      <c r="L17" s="14">
        <f t="shared" si="3"/>
        <v>132.97754400000002</v>
      </c>
    </row>
    <row r="18" spans="2:12" x14ac:dyDescent="0.15">
      <c r="H18" s="13">
        <f>SUM(H3:H17)</f>
        <v>114</v>
      </c>
      <c r="K18" s="13">
        <f>SUM(K3:K17)</f>
        <v>7809.3099999999995</v>
      </c>
    </row>
    <row r="26" spans="2:12" x14ac:dyDescent="0.15">
      <c r="G26" s="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6104-8B9D-B448-BEBC-825DA72A521C}">
  <dimension ref="B2:M26"/>
  <sheetViews>
    <sheetView zoomScale="288" workbookViewId="0">
      <selection activeCell="D20" sqref="D20"/>
    </sheetView>
  </sheetViews>
  <sheetFormatPr baseColWidth="10" defaultRowHeight="13" x14ac:dyDescent="0.15"/>
  <cols>
    <col min="2" max="8" width="11" style="10"/>
    <col min="9" max="9" width="14" customWidth="1"/>
    <col min="10" max="10" width="14" style="10" customWidth="1"/>
    <col min="11" max="11" width="12.796875" style="10" customWidth="1"/>
    <col min="12" max="12" width="14" style="14" customWidth="1"/>
    <col min="13" max="13" width="11" style="10"/>
  </cols>
  <sheetData>
    <row r="2" spans="2:13" ht="38" customHeight="1" x14ac:dyDescent="0.15">
      <c r="B2" s="2" t="s">
        <v>2</v>
      </c>
      <c r="C2" s="2" t="s">
        <v>4</v>
      </c>
      <c r="D2" s="2" t="s">
        <v>23</v>
      </c>
      <c r="E2" s="2" t="s">
        <v>0</v>
      </c>
      <c r="F2" s="2" t="s">
        <v>26</v>
      </c>
      <c r="G2" s="2" t="s">
        <v>25</v>
      </c>
      <c r="H2" s="2" t="s">
        <v>46</v>
      </c>
      <c r="I2" s="3" t="s">
        <v>3</v>
      </c>
      <c r="J2" s="2" t="s">
        <v>27</v>
      </c>
      <c r="K2" s="2" t="s">
        <v>45</v>
      </c>
      <c r="L2" s="15" t="s">
        <v>31</v>
      </c>
      <c r="M2" s="3"/>
    </row>
    <row r="3" spans="2:13" x14ac:dyDescent="0.15">
      <c r="B3" s="4" t="s">
        <v>5</v>
      </c>
      <c r="C3" s="5">
        <v>150</v>
      </c>
      <c r="D3" s="5">
        <v>500</v>
      </c>
      <c r="E3" s="6">
        <f>C3/D3</f>
        <v>0.3</v>
      </c>
      <c r="F3" s="10">
        <v>50</v>
      </c>
      <c r="G3" s="10">
        <f>F3*36</f>
        <v>1800</v>
      </c>
      <c r="H3" s="10">
        <v>4</v>
      </c>
      <c r="I3" s="7">
        <v>23.1</v>
      </c>
      <c r="J3" s="10">
        <v>1</v>
      </c>
      <c r="K3" s="10">
        <f>I3*H3</f>
        <v>92.4</v>
      </c>
      <c r="L3" s="14">
        <f>4.3022*I3</f>
        <v>99.38082</v>
      </c>
    </row>
    <row r="4" spans="2:13" x14ac:dyDescent="0.15">
      <c r="B4" s="4" t="s">
        <v>6</v>
      </c>
      <c r="C4" s="5">
        <v>150</v>
      </c>
      <c r="D4" s="5">
        <v>750</v>
      </c>
      <c r="E4" s="6">
        <f t="shared" ref="E4:E17" si="0">C4/D4</f>
        <v>0.2</v>
      </c>
      <c r="F4" s="10">
        <v>50</v>
      </c>
      <c r="G4" s="10">
        <f t="shared" ref="G4:G17" si="1">F4*36</f>
        <v>1800</v>
      </c>
      <c r="H4" s="10">
        <v>3</v>
      </c>
      <c r="I4" s="7">
        <v>31.61</v>
      </c>
      <c r="J4" s="10">
        <v>1</v>
      </c>
      <c r="K4" s="10">
        <f t="shared" ref="K4:K17" si="2">I4*H4</f>
        <v>94.83</v>
      </c>
      <c r="L4" s="14">
        <f t="shared" ref="L4:L17" si="3">4.3022*I4</f>
        <v>135.99254199999999</v>
      </c>
    </row>
    <row r="5" spans="2:13" x14ac:dyDescent="0.15">
      <c r="B5" s="4" t="s">
        <v>7</v>
      </c>
      <c r="C5" s="5">
        <v>120</v>
      </c>
      <c r="D5" s="5">
        <v>480</v>
      </c>
      <c r="E5" s="6">
        <f t="shared" si="0"/>
        <v>0.25</v>
      </c>
      <c r="F5" s="10">
        <v>50</v>
      </c>
      <c r="G5" s="10">
        <f t="shared" si="1"/>
        <v>1800</v>
      </c>
      <c r="H5" s="10">
        <v>4</v>
      </c>
      <c r="I5" s="7">
        <v>50.43</v>
      </c>
      <c r="J5" s="10">
        <v>1</v>
      </c>
      <c r="K5" s="10">
        <f t="shared" si="2"/>
        <v>201.72</v>
      </c>
      <c r="L5" s="14">
        <f t="shared" si="3"/>
        <v>216.959946</v>
      </c>
    </row>
    <row r="6" spans="2:13" x14ac:dyDescent="0.15">
      <c r="B6" s="4" t="s">
        <v>8</v>
      </c>
      <c r="C6" s="5">
        <v>120</v>
      </c>
      <c r="D6" s="5">
        <v>480</v>
      </c>
      <c r="E6" s="6">
        <f t="shared" si="0"/>
        <v>0.25</v>
      </c>
      <c r="F6" s="10">
        <v>50</v>
      </c>
      <c r="G6" s="10">
        <f t="shared" si="1"/>
        <v>1800</v>
      </c>
      <c r="H6" s="10">
        <v>4</v>
      </c>
      <c r="I6" s="7">
        <v>32.559999999999995</v>
      </c>
      <c r="J6" s="10">
        <v>1</v>
      </c>
      <c r="K6" s="10">
        <f t="shared" si="2"/>
        <v>130.23999999999998</v>
      </c>
      <c r="L6" s="14">
        <f t="shared" si="3"/>
        <v>140.07963199999998</v>
      </c>
    </row>
    <row r="7" spans="2:13" x14ac:dyDescent="0.15">
      <c r="B7" s="4" t="s">
        <v>9</v>
      </c>
      <c r="C7" s="5">
        <v>120</v>
      </c>
      <c r="D7" s="5">
        <v>480</v>
      </c>
      <c r="E7" s="6">
        <f t="shared" si="0"/>
        <v>0.25</v>
      </c>
      <c r="F7" s="10">
        <v>50</v>
      </c>
      <c r="G7" s="10">
        <f t="shared" si="1"/>
        <v>1800</v>
      </c>
      <c r="H7" s="10">
        <v>4</v>
      </c>
      <c r="I7" s="7">
        <v>35.89</v>
      </c>
      <c r="J7" s="10">
        <v>1</v>
      </c>
      <c r="K7" s="10">
        <f t="shared" si="2"/>
        <v>143.56</v>
      </c>
      <c r="L7" s="14">
        <f t="shared" si="3"/>
        <v>154.405958</v>
      </c>
    </row>
    <row r="8" spans="2:13" x14ac:dyDescent="0.15">
      <c r="B8" s="4" t="s">
        <v>10</v>
      </c>
      <c r="C8" s="5">
        <v>120</v>
      </c>
      <c r="D8" s="5">
        <v>600</v>
      </c>
      <c r="E8" s="6">
        <f t="shared" si="0"/>
        <v>0.2</v>
      </c>
      <c r="F8" s="10">
        <v>50</v>
      </c>
      <c r="G8" s="10">
        <f t="shared" si="1"/>
        <v>1800</v>
      </c>
      <c r="H8" s="10">
        <f t="shared" ref="H8:H17" si="4">G8/D8</f>
        <v>3</v>
      </c>
      <c r="I8" s="7">
        <v>42.06</v>
      </c>
      <c r="J8" s="10">
        <v>1</v>
      </c>
      <c r="K8" s="10">
        <f t="shared" si="2"/>
        <v>126.18</v>
      </c>
      <c r="L8" s="14">
        <f t="shared" si="3"/>
        <v>180.95053200000001</v>
      </c>
    </row>
    <row r="9" spans="2:13" x14ac:dyDescent="0.15">
      <c r="B9" s="4" t="s">
        <v>11</v>
      </c>
      <c r="C9" s="5">
        <v>120</v>
      </c>
      <c r="D9" s="5">
        <v>490</v>
      </c>
      <c r="E9" s="6">
        <v>0.25</v>
      </c>
      <c r="F9" s="10">
        <v>50</v>
      </c>
      <c r="G9" s="10">
        <f t="shared" si="1"/>
        <v>1800</v>
      </c>
      <c r="H9" s="10">
        <v>4</v>
      </c>
      <c r="I9" s="7">
        <v>64.930000000000007</v>
      </c>
      <c r="J9" s="10">
        <v>1</v>
      </c>
      <c r="K9" s="10">
        <f t="shared" si="2"/>
        <v>259.72000000000003</v>
      </c>
      <c r="L9" s="14">
        <f t="shared" si="3"/>
        <v>279.34184600000003</v>
      </c>
    </row>
    <row r="10" spans="2:13" x14ac:dyDescent="0.15">
      <c r="B10" s="4" t="s">
        <v>12</v>
      </c>
      <c r="C10" s="5">
        <v>120</v>
      </c>
      <c r="D10" s="5">
        <v>469</v>
      </c>
      <c r="E10" s="6">
        <v>0.25</v>
      </c>
      <c r="F10" s="10">
        <v>50</v>
      </c>
      <c r="G10" s="10">
        <f t="shared" si="1"/>
        <v>1800</v>
      </c>
      <c r="H10" s="10">
        <v>4</v>
      </c>
      <c r="I10" s="7">
        <v>64.009999999999991</v>
      </c>
      <c r="J10" s="10">
        <v>1</v>
      </c>
      <c r="K10" s="10">
        <f t="shared" si="2"/>
        <v>256.03999999999996</v>
      </c>
      <c r="L10" s="14">
        <f t="shared" si="3"/>
        <v>275.38382199999995</v>
      </c>
    </row>
    <row r="11" spans="2:13" x14ac:dyDescent="0.15">
      <c r="B11" s="4" t="s">
        <v>13</v>
      </c>
      <c r="C11" s="5">
        <v>150</v>
      </c>
      <c r="D11" s="5">
        <v>750</v>
      </c>
      <c r="E11" s="6">
        <f t="shared" si="0"/>
        <v>0.2</v>
      </c>
      <c r="F11" s="10">
        <v>50</v>
      </c>
      <c r="G11" s="10">
        <f t="shared" si="1"/>
        <v>1800</v>
      </c>
      <c r="H11" s="10">
        <v>4</v>
      </c>
      <c r="I11" s="7">
        <v>53.550000000000004</v>
      </c>
      <c r="J11" s="10">
        <v>1</v>
      </c>
      <c r="K11" s="10">
        <f t="shared" si="2"/>
        <v>214.20000000000002</v>
      </c>
      <c r="L11" s="14">
        <f t="shared" si="3"/>
        <v>230.38281000000001</v>
      </c>
    </row>
    <row r="12" spans="2:13" x14ac:dyDescent="0.15">
      <c r="B12" s="8" t="s">
        <v>14</v>
      </c>
      <c r="C12" s="5">
        <v>120</v>
      </c>
      <c r="D12" s="5">
        <v>400</v>
      </c>
      <c r="E12" s="6">
        <f t="shared" si="0"/>
        <v>0.3</v>
      </c>
      <c r="F12" s="10">
        <v>50</v>
      </c>
      <c r="G12" s="10">
        <f t="shared" si="1"/>
        <v>1800</v>
      </c>
      <c r="H12" s="10">
        <v>5</v>
      </c>
      <c r="I12" s="7">
        <v>123.38</v>
      </c>
      <c r="J12" s="10">
        <v>1</v>
      </c>
      <c r="K12" s="10">
        <f t="shared" si="2"/>
        <v>616.9</v>
      </c>
      <c r="L12" s="14">
        <f t="shared" si="3"/>
        <v>530.80543599999999</v>
      </c>
    </row>
    <row r="13" spans="2:13" x14ac:dyDescent="0.15">
      <c r="B13" s="8" t="s">
        <v>15</v>
      </c>
      <c r="C13" s="5">
        <v>120</v>
      </c>
      <c r="D13" s="5">
        <v>400</v>
      </c>
      <c r="E13" s="6">
        <f t="shared" si="0"/>
        <v>0.3</v>
      </c>
      <c r="F13" s="10">
        <v>50</v>
      </c>
      <c r="G13" s="10">
        <f t="shared" si="1"/>
        <v>1800</v>
      </c>
      <c r="H13" s="10">
        <v>5</v>
      </c>
      <c r="I13" s="7">
        <v>77.12</v>
      </c>
      <c r="J13" s="10">
        <v>1</v>
      </c>
      <c r="K13" s="10">
        <f t="shared" si="2"/>
        <v>385.6</v>
      </c>
      <c r="L13" s="14">
        <f t="shared" si="3"/>
        <v>331.785664</v>
      </c>
    </row>
    <row r="14" spans="2:13" x14ac:dyDescent="0.15">
      <c r="B14" s="4" t="s">
        <v>16</v>
      </c>
      <c r="C14" s="5">
        <v>144</v>
      </c>
      <c r="D14" s="5">
        <v>720</v>
      </c>
      <c r="E14" s="6">
        <f t="shared" si="0"/>
        <v>0.2</v>
      </c>
      <c r="F14" s="10">
        <v>50</v>
      </c>
      <c r="G14" s="10">
        <f t="shared" si="1"/>
        <v>1800</v>
      </c>
      <c r="H14" s="10">
        <v>3</v>
      </c>
      <c r="I14" s="7">
        <v>106.47</v>
      </c>
      <c r="J14" s="10">
        <v>1</v>
      </c>
      <c r="K14" s="10">
        <f t="shared" si="2"/>
        <v>319.40999999999997</v>
      </c>
      <c r="L14" s="14">
        <f t="shared" si="3"/>
        <v>458.05523399999998</v>
      </c>
    </row>
    <row r="15" spans="2:13" x14ac:dyDescent="0.15">
      <c r="B15" s="4" t="s">
        <v>17</v>
      </c>
      <c r="C15" s="5">
        <v>84</v>
      </c>
      <c r="D15" s="5">
        <v>420</v>
      </c>
      <c r="E15" s="6">
        <f t="shared" si="0"/>
        <v>0.2</v>
      </c>
      <c r="F15" s="10">
        <v>50</v>
      </c>
      <c r="G15" s="10">
        <f t="shared" si="1"/>
        <v>1800</v>
      </c>
      <c r="H15" s="10">
        <v>5</v>
      </c>
      <c r="I15" s="7">
        <v>178.94</v>
      </c>
      <c r="J15" s="10">
        <v>1</v>
      </c>
      <c r="K15" s="10">
        <f t="shared" si="2"/>
        <v>894.7</v>
      </c>
      <c r="L15" s="14">
        <f t="shared" si="3"/>
        <v>769.83566799999994</v>
      </c>
    </row>
    <row r="16" spans="2:13" x14ac:dyDescent="0.15">
      <c r="B16" s="4" t="s">
        <v>18</v>
      </c>
      <c r="C16" s="5">
        <v>120</v>
      </c>
      <c r="D16" s="5">
        <v>600</v>
      </c>
      <c r="E16" s="6">
        <f t="shared" si="0"/>
        <v>0.2</v>
      </c>
      <c r="F16" s="10">
        <v>50</v>
      </c>
      <c r="G16" s="10">
        <f t="shared" si="1"/>
        <v>1800</v>
      </c>
      <c r="H16" s="10">
        <f t="shared" si="4"/>
        <v>3</v>
      </c>
      <c r="I16" s="7">
        <v>46.11</v>
      </c>
      <c r="J16" s="10">
        <v>1</v>
      </c>
      <c r="K16" s="10">
        <f t="shared" si="2"/>
        <v>138.32999999999998</v>
      </c>
      <c r="L16" s="14">
        <f t="shared" si="3"/>
        <v>198.37444199999999</v>
      </c>
    </row>
    <row r="17" spans="2:12" x14ac:dyDescent="0.15">
      <c r="B17" s="4" t="s">
        <v>19</v>
      </c>
      <c r="C17" s="5">
        <v>120</v>
      </c>
      <c r="D17" s="5">
        <v>600</v>
      </c>
      <c r="E17" s="6">
        <f t="shared" si="0"/>
        <v>0.2</v>
      </c>
      <c r="F17" s="10">
        <v>50</v>
      </c>
      <c r="G17" s="10">
        <f t="shared" si="1"/>
        <v>1800</v>
      </c>
      <c r="H17" s="10">
        <f t="shared" si="4"/>
        <v>3</v>
      </c>
      <c r="I17" s="7">
        <v>49.24</v>
      </c>
      <c r="J17" s="10">
        <v>1</v>
      </c>
      <c r="K17" s="10">
        <f t="shared" si="2"/>
        <v>147.72</v>
      </c>
      <c r="L17" s="14">
        <f t="shared" si="3"/>
        <v>211.840328</v>
      </c>
    </row>
    <row r="18" spans="2:12" x14ac:dyDescent="0.15">
      <c r="H18" s="13">
        <f>SUM(H3:H17)</f>
        <v>58</v>
      </c>
      <c r="K18" s="13">
        <f>SUM(K3:K17)</f>
        <v>4021.5499999999997</v>
      </c>
    </row>
    <row r="26" spans="2:12" x14ac:dyDescent="0.15">
      <c r="G26" s="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1CAA-32F8-C547-94BC-89A163ED96A0}">
  <dimension ref="B2:M26"/>
  <sheetViews>
    <sheetView topLeftCell="C1" zoomScale="288" workbookViewId="0">
      <selection activeCell="K19" sqref="K19"/>
    </sheetView>
  </sheetViews>
  <sheetFormatPr baseColWidth="10" defaultRowHeight="13" x14ac:dyDescent="0.15"/>
  <cols>
    <col min="2" max="8" width="11" style="10"/>
    <col min="9" max="9" width="14" customWidth="1"/>
    <col min="10" max="10" width="14" style="10" customWidth="1"/>
    <col min="11" max="11" width="12.796875" style="10" customWidth="1"/>
    <col min="12" max="12" width="14" style="14" customWidth="1"/>
    <col min="13" max="13" width="11" style="10"/>
  </cols>
  <sheetData>
    <row r="2" spans="2:13" ht="38" customHeight="1" x14ac:dyDescent="0.15">
      <c r="B2" s="2" t="s">
        <v>2</v>
      </c>
      <c r="C2" s="2" t="s">
        <v>4</v>
      </c>
      <c r="D2" s="2" t="s">
        <v>23</v>
      </c>
      <c r="E2" s="2" t="s">
        <v>0</v>
      </c>
      <c r="F2" s="2" t="s">
        <v>26</v>
      </c>
      <c r="G2" s="2" t="s">
        <v>25</v>
      </c>
      <c r="H2" s="2" t="s">
        <v>46</v>
      </c>
      <c r="I2" s="3" t="s">
        <v>3</v>
      </c>
      <c r="J2" s="2" t="s">
        <v>27</v>
      </c>
      <c r="K2" s="2" t="s">
        <v>45</v>
      </c>
      <c r="L2" s="15" t="s">
        <v>31</v>
      </c>
      <c r="M2" s="3"/>
    </row>
    <row r="3" spans="2:13" x14ac:dyDescent="0.15">
      <c r="B3" s="4" t="s">
        <v>5</v>
      </c>
      <c r="C3" s="5">
        <v>150</v>
      </c>
      <c r="D3" s="5">
        <v>500</v>
      </c>
      <c r="E3" s="6">
        <f>C3/D3</f>
        <v>0.3</v>
      </c>
      <c r="F3" s="10">
        <v>102</v>
      </c>
      <c r="G3" s="10">
        <f>F3*36</f>
        <v>3672</v>
      </c>
      <c r="H3" s="10">
        <v>8</v>
      </c>
      <c r="I3" s="7">
        <v>23.1</v>
      </c>
      <c r="J3" s="10">
        <v>1</v>
      </c>
      <c r="K3" s="10">
        <f>H3*I3</f>
        <v>184.8</v>
      </c>
      <c r="L3" s="14">
        <f>3.725*I3</f>
        <v>86.047500000000014</v>
      </c>
    </row>
    <row r="4" spans="2:13" x14ac:dyDescent="0.15">
      <c r="B4" s="4" t="s">
        <v>6</v>
      </c>
      <c r="C4" s="5">
        <v>150</v>
      </c>
      <c r="D4" s="5">
        <v>750</v>
      </c>
      <c r="E4" s="6">
        <f t="shared" ref="E4:E17" si="0">C4/D4</f>
        <v>0.2</v>
      </c>
      <c r="F4" s="10">
        <v>102</v>
      </c>
      <c r="G4" s="10">
        <f t="shared" ref="G4:G17" si="1">F4*36</f>
        <v>3672</v>
      </c>
      <c r="H4" s="10">
        <v>5</v>
      </c>
      <c r="I4" s="7">
        <v>31.61</v>
      </c>
      <c r="J4" s="10">
        <v>1</v>
      </c>
      <c r="K4" s="10">
        <f t="shared" ref="K4:K17" si="2">H4*I4</f>
        <v>158.05000000000001</v>
      </c>
      <c r="L4" s="14">
        <f t="shared" ref="L4:L17" si="3">3.725*I4</f>
        <v>117.74724999999999</v>
      </c>
    </row>
    <row r="5" spans="2:13" x14ac:dyDescent="0.15">
      <c r="B5" s="4" t="s">
        <v>7</v>
      </c>
      <c r="C5" s="5">
        <v>120</v>
      </c>
      <c r="D5" s="5">
        <v>480</v>
      </c>
      <c r="E5" s="6">
        <f t="shared" si="0"/>
        <v>0.25</v>
      </c>
      <c r="F5" s="10">
        <v>102</v>
      </c>
      <c r="G5" s="10">
        <f t="shared" si="1"/>
        <v>3672</v>
      </c>
      <c r="H5" s="10">
        <v>8</v>
      </c>
      <c r="I5" s="7">
        <v>50.43</v>
      </c>
      <c r="J5" s="10">
        <v>1</v>
      </c>
      <c r="K5" s="10">
        <f t="shared" si="2"/>
        <v>403.44</v>
      </c>
      <c r="L5" s="14">
        <f t="shared" si="3"/>
        <v>187.85175000000001</v>
      </c>
    </row>
    <row r="6" spans="2:13" x14ac:dyDescent="0.15">
      <c r="B6" s="4" t="s">
        <v>8</v>
      </c>
      <c r="C6" s="5">
        <v>120</v>
      </c>
      <c r="D6" s="5">
        <v>480</v>
      </c>
      <c r="E6" s="6">
        <f t="shared" si="0"/>
        <v>0.25</v>
      </c>
      <c r="F6" s="10">
        <v>102</v>
      </c>
      <c r="G6" s="10">
        <f t="shared" si="1"/>
        <v>3672</v>
      </c>
      <c r="H6" s="10">
        <v>8</v>
      </c>
      <c r="I6" s="7">
        <v>32.559999999999995</v>
      </c>
      <c r="J6" s="10">
        <v>1</v>
      </c>
      <c r="K6" s="10">
        <f t="shared" si="2"/>
        <v>260.47999999999996</v>
      </c>
      <c r="L6" s="14">
        <f t="shared" si="3"/>
        <v>121.28599999999999</v>
      </c>
    </row>
    <row r="7" spans="2:13" x14ac:dyDescent="0.15">
      <c r="B7" s="4" t="s">
        <v>9</v>
      </c>
      <c r="C7" s="5">
        <v>120</v>
      </c>
      <c r="D7" s="5">
        <v>480</v>
      </c>
      <c r="E7" s="6">
        <f t="shared" si="0"/>
        <v>0.25</v>
      </c>
      <c r="F7" s="10">
        <v>102</v>
      </c>
      <c r="G7" s="10">
        <f t="shared" si="1"/>
        <v>3672</v>
      </c>
      <c r="H7" s="10">
        <v>8</v>
      </c>
      <c r="I7" s="7">
        <v>35.89</v>
      </c>
      <c r="J7" s="10">
        <v>1</v>
      </c>
      <c r="K7" s="10">
        <f t="shared" si="2"/>
        <v>287.12</v>
      </c>
      <c r="L7" s="14">
        <f t="shared" si="3"/>
        <v>133.69024999999999</v>
      </c>
    </row>
    <row r="8" spans="2:13" x14ac:dyDescent="0.15">
      <c r="B8" s="4" t="s">
        <v>10</v>
      </c>
      <c r="C8" s="5">
        <v>120</v>
      </c>
      <c r="D8" s="5">
        <v>600</v>
      </c>
      <c r="E8" s="6">
        <f t="shared" si="0"/>
        <v>0.2</v>
      </c>
      <c r="F8" s="10">
        <v>102</v>
      </c>
      <c r="G8" s="10">
        <f t="shared" si="1"/>
        <v>3672</v>
      </c>
      <c r="H8" s="10">
        <v>7</v>
      </c>
      <c r="I8" s="7">
        <v>42.06</v>
      </c>
      <c r="J8" s="10">
        <v>1</v>
      </c>
      <c r="K8" s="10">
        <f t="shared" si="2"/>
        <v>294.42</v>
      </c>
      <c r="L8" s="14">
        <f t="shared" si="3"/>
        <v>156.67350000000002</v>
      </c>
    </row>
    <row r="9" spans="2:13" x14ac:dyDescent="0.15">
      <c r="B9" s="4" t="s">
        <v>11</v>
      </c>
      <c r="C9" s="5">
        <v>120</v>
      </c>
      <c r="D9" s="5">
        <v>490</v>
      </c>
      <c r="E9" s="6">
        <v>0.25</v>
      </c>
      <c r="F9" s="10">
        <v>102</v>
      </c>
      <c r="G9" s="10">
        <f t="shared" si="1"/>
        <v>3672</v>
      </c>
      <c r="H9" s="10">
        <v>8</v>
      </c>
      <c r="I9" s="7">
        <v>64.930000000000007</v>
      </c>
      <c r="J9" s="10">
        <v>1</v>
      </c>
      <c r="K9" s="10">
        <f t="shared" si="2"/>
        <v>519.44000000000005</v>
      </c>
      <c r="L9" s="14">
        <f t="shared" si="3"/>
        <v>241.86425000000003</v>
      </c>
    </row>
    <row r="10" spans="2:13" x14ac:dyDescent="0.15">
      <c r="B10" s="4" t="s">
        <v>12</v>
      </c>
      <c r="C10" s="5">
        <v>120</v>
      </c>
      <c r="D10" s="5">
        <v>469</v>
      </c>
      <c r="E10" s="6">
        <v>0.25</v>
      </c>
      <c r="F10" s="10">
        <v>102</v>
      </c>
      <c r="G10" s="10">
        <f t="shared" si="1"/>
        <v>3672</v>
      </c>
      <c r="H10" s="10">
        <v>8</v>
      </c>
      <c r="I10" s="7">
        <v>64.009999999999991</v>
      </c>
      <c r="J10" s="10">
        <v>1</v>
      </c>
      <c r="K10" s="10">
        <f t="shared" si="2"/>
        <v>512.07999999999993</v>
      </c>
      <c r="L10" s="14">
        <f t="shared" si="3"/>
        <v>238.43724999999998</v>
      </c>
    </row>
    <row r="11" spans="2:13" x14ac:dyDescent="0.15">
      <c r="B11" s="4" t="s">
        <v>13</v>
      </c>
      <c r="C11" s="5">
        <v>150</v>
      </c>
      <c r="D11" s="5">
        <v>750</v>
      </c>
      <c r="E11" s="6">
        <f t="shared" si="0"/>
        <v>0.2</v>
      </c>
      <c r="F11" s="10">
        <v>102</v>
      </c>
      <c r="G11" s="10">
        <f t="shared" si="1"/>
        <v>3672</v>
      </c>
      <c r="H11" s="10">
        <v>10</v>
      </c>
      <c r="I11" s="7">
        <v>53.550000000000004</v>
      </c>
      <c r="J11" s="10">
        <v>1</v>
      </c>
      <c r="K11" s="10">
        <f t="shared" si="2"/>
        <v>535.5</v>
      </c>
      <c r="L11" s="14">
        <f t="shared" si="3"/>
        <v>199.47375000000002</v>
      </c>
    </row>
    <row r="12" spans="2:13" x14ac:dyDescent="0.15">
      <c r="B12" s="8" t="s">
        <v>14</v>
      </c>
      <c r="C12" s="5">
        <v>120</v>
      </c>
      <c r="D12" s="5">
        <v>400</v>
      </c>
      <c r="E12" s="6">
        <f t="shared" si="0"/>
        <v>0.3</v>
      </c>
      <c r="F12" s="10">
        <v>102</v>
      </c>
      <c r="G12" s="10">
        <f t="shared" si="1"/>
        <v>3672</v>
      </c>
      <c r="H12" s="10">
        <v>10</v>
      </c>
      <c r="I12" s="7">
        <v>123.38</v>
      </c>
      <c r="J12" s="10">
        <v>1</v>
      </c>
      <c r="K12" s="10">
        <f t="shared" si="2"/>
        <v>1233.8</v>
      </c>
      <c r="L12" s="14">
        <f t="shared" si="3"/>
        <v>459.59050000000002</v>
      </c>
    </row>
    <row r="13" spans="2:13" x14ac:dyDescent="0.15">
      <c r="B13" s="8" t="s">
        <v>15</v>
      </c>
      <c r="C13" s="5">
        <v>120</v>
      </c>
      <c r="D13" s="5">
        <v>400</v>
      </c>
      <c r="E13" s="6">
        <f t="shared" si="0"/>
        <v>0.3</v>
      </c>
      <c r="F13" s="10">
        <v>102</v>
      </c>
      <c r="G13" s="10">
        <f t="shared" si="1"/>
        <v>3672</v>
      </c>
      <c r="H13" s="10">
        <v>10</v>
      </c>
      <c r="I13" s="7">
        <v>77.12</v>
      </c>
      <c r="J13" s="10">
        <v>1</v>
      </c>
      <c r="K13" s="10">
        <f t="shared" si="2"/>
        <v>771.2</v>
      </c>
      <c r="L13" s="14">
        <f t="shared" si="3"/>
        <v>287.27200000000005</v>
      </c>
    </row>
    <row r="14" spans="2:13" x14ac:dyDescent="0.15">
      <c r="B14" s="4" t="s">
        <v>16</v>
      </c>
      <c r="C14" s="5">
        <v>144</v>
      </c>
      <c r="D14" s="5">
        <v>720</v>
      </c>
      <c r="E14" s="6">
        <f t="shared" si="0"/>
        <v>0.2</v>
      </c>
      <c r="F14" s="10">
        <v>102</v>
      </c>
      <c r="G14" s="10">
        <f t="shared" si="1"/>
        <v>3672</v>
      </c>
      <c r="H14" s="10">
        <v>5</v>
      </c>
      <c r="I14" s="7">
        <v>106.47</v>
      </c>
      <c r="J14" s="10">
        <v>1</v>
      </c>
      <c r="K14" s="10">
        <f t="shared" si="2"/>
        <v>532.35</v>
      </c>
      <c r="L14" s="14">
        <f t="shared" si="3"/>
        <v>396.60075000000001</v>
      </c>
    </row>
    <row r="15" spans="2:13" x14ac:dyDescent="0.15">
      <c r="B15" s="4" t="s">
        <v>17</v>
      </c>
      <c r="C15" s="5">
        <v>84</v>
      </c>
      <c r="D15" s="5">
        <v>420</v>
      </c>
      <c r="E15" s="6">
        <f t="shared" si="0"/>
        <v>0.2</v>
      </c>
      <c r="F15" s="10">
        <v>102</v>
      </c>
      <c r="G15" s="10">
        <f t="shared" si="1"/>
        <v>3672</v>
      </c>
      <c r="H15" s="10">
        <v>9</v>
      </c>
      <c r="I15" s="7">
        <v>178.94</v>
      </c>
      <c r="J15" s="10">
        <v>1</v>
      </c>
      <c r="K15" s="10">
        <f t="shared" si="2"/>
        <v>1610.46</v>
      </c>
      <c r="L15" s="14">
        <f t="shared" si="3"/>
        <v>666.55150000000003</v>
      </c>
    </row>
    <row r="16" spans="2:13" x14ac:dyDescent="0.15">
      <c r="B16" s="4" t="s">
        <v>18</v>
      </c>
      <c r="C16" s="5">
        <v>120</v>
      </c>
      <c r="D16" s="5">
        <v>600</v>
      </c>
      <c r="E16" s="6">
        <f t="shared" si="0"/>
        <v>0.2</v>
      </c>
      <c r="F16" s="10">
        <v>102</v>
      </c>
      <c r="G16" s="10">
        <f t="shared" si="1"/>
        <v>3672</v>
      </c>
      <c r="H16" s="10">
        <v>7</v>
      </c>
      <c r="I16" s="7">
        <v>46.11</v>
      </c>
      <c r="J16" s="10">
        <v>1</v>
      </c>
      <c r="K16" s="10">
        <f t="shared" si="2"/>
        <v>322.77</v>
      </c>
      <c r="L16" s="14">
        <f t="shared" si="3"/>
        <v>171.75975</v>
      </c>
    </row>
    <row r="17" spans="2:12" x14ac:dyDescent="0.15">
      <c r="B17" s="4" t="s">
        <v>19</v>
      </c>
      <c r="C17" s="5">
        <v>120</v>
      </c>
      <c r="D17" s="5">
        <v>600</v>
      </c>
      <c r="E17" s="6">
        <f t="shared" si="0"/>
        <v>0.2</v>
      </c>
      <c r="F17" s="10">
        <v>102</v>
      </c>
      <c r="G17" s="10">
        <f t="shared" si="1"/>
        <v>3672</v>
      </c>
      <c r="H17" s="10">
        <v>7</v>
      </c>
      <c r="I17" s="7">
        <v>49.24</v>
      </c>
      <c r="J17" s="10">
        <v>1</v>
      </c>
      <c r="K17" s="10">
        <f t="shared" si="2"/>
        <v>344.68</v>
      </c>
      <c r="L17" s="14">
        <f t="shared" si="3"/>
        <v>183.41900000000001</v>
      </c>
    </row>
    <row r="18" spans="2:12" x14ac:dyDescent="0.15">
      <c r="H18" s="13">
        <f>SUM(H3:H17)</f>
        <v>118</v>
      </c>
      <c r="K18" s="13">
        <f>SUM(K3:K17)</f>
        <v>7970.59</v>
      </c>
    </row>
    <row r="26" spans="2:12" x14ac:dyDescent="0.15">
      <c r="G26" s="1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4F57-5A26-7D44-8E69-BEA2EE61CA58}">
  <dimension ref="B2:M26"/>
  <sheetViews>
    <sheetView topLeftCell="E1" zoomScale="288" workbookViewId="0">
      <selection activeCell="I14" sqref="I14"/>
    </sheetView>
  </sheetViews>
  <sheetFormatPr baseColWidth="10" defaultRowHeight="13" x14ac:dyDescent="0.15"/>
  <cols>
    <col min="2" max="8" width="11" style="10"/>
    <col min="9" max="9" width="14" customWidth="1"/>
    <col min="10" max="10" width="14" style="10" customWidth="1"/>
    <col min="11" max="11" width="12.796875" style="10" customWidth="1"/>
    <col min="12" max="12" width="14" style="14" customWidth="1"/>
    <col min="13" max="13" width="11" style="10"/>
  </cols>
  <sheetData>
    <row r="2" spans="2:13" ht="38" customHeight="1" x14ac:dyDescent="0.15">
      <c r="B2" s="2" t="s">
        <v>2</v>
      </c>
      <c r="C2" s="2" t="s">
        <v>4</v>
      </c>
      <c r="D2" s="2" t="s">
        <v>23</v>
      </c>
      <c r="E2" s="2" t="s">
        <v>0</v>
      </c>
      <c r="F2" s="2" t="s">
        <v>26</v>
      </c>
      <c r="G2" s="2" t="s">
        <v>25</v>
      </c>
      <c r="H2" s="2" t="s">
        <v>46</v>
      </c>
      <c r="I2" s="3" t="s">
        <v>3</v>
      </c>
      <c r="J2" s="2" t="s">
        <v>27</v>
      </c>
      <c r="K2" s="2" t="s">
        <v>45</v>
      </c>
      <c r="L2" s="15" t="s">
        <v>31</v>
      </c>
      <c r="M2" s="3"/>
    </row>
    <row r="3" spans="2:13" x14ac:dyDescent="0.15">
      <c r="B3" s="4" t="s">
        <v>5</v>
      </c>
      <c r="C3" s="5">
        <v>150</v>
      </c>
      <c r="D3" s="5">
        <v>500</v>
      </c>
      <c r="E3" s="6">
        <f>C3/D3</f>
        <v>0.3</v>
      </c>
      <c r="F3" s="10">
        <v>102</v>
      </c>
      <c r="G3" s="10">
        <f>F3*36</f>
        <v>3672</v>
      </c>
      <c r="H3" s="10">
        <v>8</v>
      </c>
      <c r="I3" s="7">
        <v>23.1</v>
      </c>
      <c r="J3" s="10">
        <v>1</v>
      </c>
      <c r="K3" s="10">
        <f>H3*I3</f>
        <v>184.8</v>
      </c>
      <c r="L3" s="14">
        <f>3.376*I3</f>
        <v>77.985600000000005</v>
      </c>
    </row>
    <row r="4" spans="2:13" x14ac:dyDescent="0.15">
      <c r="B4" s="4" t="s">
        <v>6</v>
      </c>
      <c r="C4" s="5">
        <v>150</v>
      </c>
      <c r="D4" s="5">
        <v>750</v>
      </c>
      <c r="E4" s="6">
        <f t="shared" ref="E4:E17" si="0">C4/D4</f>
        <v>0.2</v>
      </c>
      <c r="F4" s="10">
        <v>102</v>
      </c>
      <c r="G4" s="10">
        <f t="shared" ref="G4:G17" si="1">F4*36</f>
        <v>3672</v>
      </c>
      <c r="H4" s="10">
        <v>5</v>
      </c>
      <c r="I4" s="7">
        <v>31.61</v>
      </c>
      <c r="J4" s="10">
        <v>1</v>
      </c>
      <c r="K4" s="10">
        <f t="shared" ref="K4:K17" si="2">H4*I4</f>
        <v>158.05000000000001</v>
      </c>
      <c r="L4" s="14">
        <f t="shared" ref="L4:L17" si="3">3.376*I4</f>
        <v>106.71535999999999</v>
      </c>
    </row>
    <row r="5" spans="2:13" x14ac:dyDescent="0.15">
      <c r="B5" s="4" t="s">
        <v>7</v>
      </c>
      <c r="C5" s="5">
        <v>120</v>
      </c>
      <c r="D5" s="5">
        <v>480</v>
      </c>
      <c r="E5" s="6">
        <f t="shared" si="0"/>
        <v>0.25</v>
      </c>
      <c r="F5" s="10">
        <v>102</v>
      </c>
      <c r="G5" s="10">
        <f t="shared" si="1"/>
        <v>3672</v>
      </c>
      <c r="H5" s="10">
        <v>8</v>
      </c>
      <c r="I5" s="7">
        <v>50.43</v>
      </c>
      <c r="J5" s="10">
        <v>1</v>
      </c>
      <c r="K5" s="10">
        <f t="shared" si="2"/>
        <v>403.44</v>
      </c>
      <c r="L5" s="14">
        <f t="shared" si="3"/>
        <v>170.25167999999999</v>
      </c>
    </row>
    <row r="6" spans="2:13" x14ac:dyDescent="0.15">
      <c r="B6" s="4" t="s">
        <v>8</v>
      </c>
      <c r="C6" s="5">
        <v>120</v>
      </c>
      <c r="D6" s="5">
        <v>480</v>
      </c>
      <c r="E6" s="6">
        <f t="shared" si="0"/>
        <v>0.25</v>
      </c>
      <c r="F6" s="10">
        <v>102</v>
      </c>
      <c r="G6" s="10">
        <f t="shared" si="1"/>
        <v>3672</v>
      </c>
      <c r="H6" s="10">
        <v>8</v>
      </c>
      <c r="I6" s="7">
        <v>32.559999999999995</v>
      </c>
      <c r="J6" s="10">
        <v>1</v>
      </c>
      <c r="K6" s="10">
        <f t="shared" si="2"/>
        <v>260.47999999999996</v>
      </c>
      <c r="L6" s="14">
        <f t="shared" si="3"/>
        <v>109.92255999999998</v>
      </c>
    </row>
    <row r="7" spans="2:13" x14ac:dyDescent="0.15">
      <c r="B7" s="4" t="s">
        <v>9</v>
      </c>
      <c r="C7" s="5">
        <v>120</v>
      </c>
      <c r="D7" s="5">
        <v>480</v>
      </c>
      <c r="E7" s="6">
        <f t="shared" si="0"/>
        <v>0.25</v>
      </c>
      <c r="F7" s="10">
        <v>102</v>
      </c>
      <c r="G7" s="10">
        <f t="shared" si="1"/>
        <v>3672</v>
      </c>
      <c r="H7" s="10">
        <v>8</v>
      </c>
      <c r="I7" s="7">
        <v>35.89</v>
      </c>
      <c r="J7" s="10">
        <v>1</v>
      </c>
      <c r="K7" s="10">
        <f t="shared" si="2"/>
        <v>287.12</v>
      </c>
      <c r="L7" s="14">
        <f t="shared" si="3"/>
        <v>121.16463999999999</v>
      </c>
    </row>
    <row r="8" spans="2:13" x14ac:dyDescent="0.15">
      <c r="B8" s="4" t="s">
        <v>10</v>
      </c>
      <c r="C8" s="5">
        <v>120</v>
      </c>
      <c r="D8" s="5">
        <v>600</v>
      </c>
      <c r="E8" s="6">
        <f t="shared" si="0"/>
        <v>0.2</v>
      </c>
      <c r="F8" s="10">
        <v>102</v>
      </c>
      <c r="G8" s="10">
        <f t="shared" si="1"/>
        <v>3672</v>
      </c>
      <c r="H8" s="10">
        <v>7</v>
      </c>
      <c r="I8" s="7">
        <v>42.06</v>
      </c>
      <c r="J8" s="10">
        <v>1</v>
      </c>
      <c r="K8" s="10">
        <f t="shared" si="2"/>
        <v>294.42</v>
      </c>
      <c r="L8" s="14">
        <f t="shared" si="3"/>
        <v>141.99456000000001</v>
      </c>
    </row>
    <row r="9" spans="2:13" x14ac:dyDescent="0.15">
      <c r="B9" s="4" t="s">
        <v>11</v>
      </c>
      <c r="C9" s="5">
        <v>120</v>
      </c>
      <c r="D9" s="5">
        <v>490</v>
      </c>
      <c r="E9" s="6">
        <v>0.25</v>
      </c>
      <c r="F9" s="10">
        <v>102</v>
      </c>
      <c r="G9" s="10">
        <f t="shared" si="1"/>
        <v>3672</v>
      </c>
      <c r="H9" s="10">
        <v>8</v>
      </c>
      <c r="I9" s="7">
        <v>64.930000000000007</v>
      </c>
      <c r="J9" s="10">
        <v>1</v>
      </c>
      <c r="K9" s="10">
        <f t="shared" si="2"/>
        <v>519.44000000000005</v>
      </c>
      <c r="L9" s="14">
        <f t="shared" si="3"/>
        <v>219.20368000000002</v>
      </c>
    </row>
    <row r="10" spans="2:13" x14ac:dyDescent="0.15">
      <c r="B10" s="4" t="s">
        <v>12</v>
      </c>
      <c r="C10" s="5">
        <v>120</v>
      </c>
      <c r="D10" s="5">
        <v>469</v>
      </c>
      <c r="E10" s="6">
        <v>0.25</v>
      </c>
      <c r="F10" s="10">
        <v>102</v>
      </c>
      <c r="G10" s="10">
        <f t="shared" si="1"/>
        <v>3672</v>
      </c>
      <c r="H10" s="10">
        <v>8</v>
      </c>
      <c r="I10" s="7">
        <v>64.009999999999991</v>
      </c>
      <c r="J10" s="10">
        <v>1</v>
      </c>
      <c r="K10" s="10">
        <f t="shared" si="2"/>
        <v>512.07999999999993</v>
      </c>
      <c r="L10" s="14">
        <f t="shared" si="3"/>
        <v>216.09775999999997</v>
      </c>
    </row>
    <row r="11" spans="2:13" x14ac:dyDescent="0.15">
      <c r="B11" s="4" t="s">
        <v>13</v>
      </c>
      <c r="C11" s="5">
        <v>150</v>
      </c>
      <c r="D11" s="5">
        <v>750</v>
      </c>
      <c r="E11" s="6">
        <f t="shared" si="0"/>
        <v>0.2</v>
      </c>
      <c r="F11" s="10">
        <v>102</v>
      </c>
      <c r="G11" s="10">
        <f t="shared" si="1"/>
        <v>3672</v>
      </c>
      <c r="H11" s="10">
        <v>5</v>
      </c>
      <c r="I11" s="7">
        <v>53.550000000000004</v>
      </c>
      <c r="J11" s="10">
        <v>1</v>
      </c>
      <c r="K11" s="10">
        <f t="shared" si="2"/>
        <v>267.75</v>
      </c>
      <c r="L11" s="14">
        <f t="shared" si="3"/>
        <v>180.78480000000002</v>
      </c>
    </row>
    <row r="12" spans="2:13" x14ac:dyDescent="0.15">
      <c r="B12" s="8" t="s">
        <v>14</v>
      </c>
      <c r="C12" s="5">
        <v>120</v>
      </c>
      <c r="D12" s="5">
        <v>400</v>
      </c>
      <c r="E12" s="6">
        <f t="shared" si="0"/>
        <v>0.3</v>
      </c>
      <c r="F12" s="10">
        <v>102</v>
      </c>
      <c r="G12" s="10">
        <f t="shared" si="1"/>
        <v>3672</v>
      </c>
      <c r="H12" s="10">
        <v>10</v>
      </c>
      <c r="I12" s="7">
        <v>123.38</v>
      </c>
      <c r="J12" s="10">
        <v>1</v>
      </c>
      <c r="K12" s="10">
        <f t="shared" si="2"/>
        <v>1233.8</v>
      </c>
      <c r="L12" s="14">
        <f t="shared" si="3"/>
        <v>416.53087999999997</v>
      </c>
    </row>
    <row r="13" spans="2:13" x14ac:dyDescent="0.15">
      <c r="B13" s="8" t="s">
        <v>15</v>
      </c>
      <c r="C13" s="5">
        <v>120</v>
      </c>
      <c r="D13" s="5">
        <v>400</v>
      </c>
      <c r="E13" s="6">
        <f t="shared" si="0"/>
        <v>0.3</v>
      </c>
      <c r="F13" s="10">
        <v>102</v>
      </c>
      <c r="G13" s="10">
        <f t="shared" si="1"/>
        <v>3672</v>
      </c>
      <c r="H13" s="10">
        <v>10</v>
      </c>
      <c r="I13" s="7">
        <v>77.12</v>
      </c>
      <c r="J13" s="10">
        <v>1</v>
      </c>
      <c r="K13" s="10">
        <f t="shared" si="2"/>
        <v>771.2</v>
      </c>
      <c r="L13" s="14">
        <f t="shared" si="3"/>
        <v>260.35712000000001</v>
      </c>
    </row>
    <row r="14" spans="2:13" x14ac:dyDescent="0.15">
      <c r="B14" s="4" t="s">
        <v>16</v>
      </c>
      <c r="C14" s="5">
        <v>144</v>
      </c>
      <c r="D14" s="5">
        <v>720</v>
      </c>
      <c r="E14" s="6">
        <f t="shared" si="0"/>
        <v>0.2</v>
      </c>
      <c r="F14" s="10">
        <v>102</v>
      </c>
      <c r="G14" s="10">
        <f t="shared" si="1"/>
        <v>3672</v>
      </c>
      <c r="H14" s="10">
        <v>6</v>
      </c>
      <c r="I14" s="7">
        <v>106.47</v>
      </c>
      <c r="J14" s="10">
        <v>1</v>
      </c>
      <c r="K14" s="10">
        <f t="shared" si="2"/>
        <v>638.81999999999994</v>
      </c>
      <c r="L14" s="14">
        <f t="shared" si="3"/>
        <v>359.44272000000001</v>
      </c>
    </row>
    <row r="15" spans="2:13" x14ac:dyDescent="0.15">
      <c r="B15" s="4" t="s">
        <v>17</v>
      </c>
      <c r="C15" s="5">
        <v>84</v>
      </c>
      <c r="D15" s="5">
        <v>420</v>
      </c>
      <c r="E15" s="6">
        <f t="shared" si="0"/>
        <v>0.2</v>
      </c>
      <c r="F15" s="10">
        <v>102</v>
      </c>
      <c r="G15" s="10">
        <f t="shared" si="1"/>
        <v>3672</v>
      </c>
      <c r="H15" s="10">
        <v>9</v>
      </c>
      <c r="I15" s="7">
        <v>178.94</v>
      </c>
      <c r="J15" s="10">
        <v>1</v>
      </c>
      <c r="K15" s="10">
        <f t="shared" si="2"/>
        <v>1610.46</v>
      </c>
      <c r="L15" s="14">
        <f t="shared" si="3"/>
        <v>604.10144000000003</v>
      </c>
    </row>
    <row r="16" spans="2:13" x14ac:dyDescent="0.15">
      <c r="B16" s="4" t="s">
        <v>18</v>
      </c>
      <c r="C16" s="5">
        <v>120</v>
      </c>
      <c r="D16" s="5">
        <v>600</v>
      </c>
      <c r="E16" s="6">
        <f t="shared" si="0"/>
        <v>0.2</v>
      </c>
      <c r="F16" s="10">
        <v>102</v>
      </c>
      <c r="G16" s="10">
        <f t="shared" si="1"/>
        <v>3672</v>
      </c>
      <c r="H16" s="10">
        <v>7</v>
      </c>
      <c r="I16" s="7">
        <v>46.11</v>
      </c>
      <c r="J16" s="10">
        <v>1</v>
      </c>
      <c r="K16" s="10">
        <f t="shared" si="2"/>
        <v>322.77</v>
      </c>
      <c r="L16" s="14">
        <f t="shared" si="3"/>
        <v>155.66736</v>
      </c>
    </row>
    <row r="17" spans="2:12" x14ac:dyDescent="0.15">
      <c r="B17" s="4" t="s">
        <v>19</v>
      </c>
      <c r="C17" s="5">
        <v>120</v>
      </c>
      <c r="D17" s="5">
        <v>600</v>
      </c>
      <c r="E17" s="6">
        <f t="shared" si="0"/>
        <v>0.2</v>
      </c>
      <c r="F17" s="10">
        <v>102</v>
      </c>
      <c r="G17" s="10">
        <f t="shared" si="1"/>
        <v>3672</v>
      </c>
      <c r="H17" s="10">
        <v>7</v>
      </c>
      <c r="I17" s="7">
        <v>49.24</v>
      </c>
      <c r="J17" s="10">
        <v>1</v>
      </c>
      <c r="K17" s="10">
        <f t="shared" si="2"/>
        <v>344.68</v>
      </c>
      <c r="L17" s="14">
        <f t="shared" si="3"/>
        <v>166.23424</v>
      </c>
    </row>
    <row r="18" spans="2:12" x14ac:dyDescent="0.15">
      <c r="H18" s="13">
        <f>SUM(H3:H17)</f>
        <v>114</v>
      </c>
      <c r="K18" s="13">
        <f>SUM(K3:K17)</f>
        <v>7809.3099999999995</v>
      </c>
    </row>
    <row r="26" spans="2:12" x14ac:dyDescent="0.15">
      <c r="G26" s="1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306" workbookViewId="0">
      <selection activeCell="E17" sqref="E17"/>
    </sheetView>
  </sheetViews>
  <sheetFormatPr baseColWidth="10" defaultColWidth="9" defaultRowHeight="13" x14ac:dyDescent="0.15"/>
  <cols>
    <col min="1" max="1" width="11.796875" customWidth="1"/>
    <col min="2" max="2" width="18.59765625" customWidth="1"/>
    <col min="3" max="7" width="16" customWidth="1"/>
    <col min="8" max="8" width="14.19921875" customWidth="1"/>
    <col min="9" max="9" width="14" customWidth="1"/>
    <col min="10" max="10" width="13.796875" customWidth="1"/>
  </cols>
  <sheetData>
    <row r="1" spans="1:10" s="16" customFormat="1" ht="27" customHeight="1" x14ac:dyDescent="0.15">
      <c r="A1" s="20" t="s">
        <v>2</v>
      </c>
      <c r="B1" s="20" t="s">
        <v>4</v>
      </c>
      <c r="C1" s="20" t="s">
        <v>1</v>
      </c>
      <c r="D1" s="21" t="s">
        <v>51</v>
      </c>
      <c r="E1" s="21" t="s">
        <v>52</v>
      </c>
      <c r="F1" s="20"/>
      <c r="G1" s="21" t="s">
        <v>53</v>
      </c>
      <c r="H1" s="20" t="s">
        <v>0</v>
      </c>
      <c r="I1" s="22" t="s">
        <v>3</v>
      </c>
      <c r="J1" s="20" t="s">
        <v>20</v>
      </c>
    </row>
    <row r="2" spans="1:10" s="16" customFormat="1" ht="17" customHeight="1" x14ac:dyDescent="0.15">
      <c r="A2" s="23" t="s">
        <v>47</v>
      </c>
      <c r="B2" s="24">
        <v>20000</v>
      </c>
      <c r="C2" s="25">
        <v>500</v>
      </c>
      <c r="D2" s="25">
        <v>191.71</v>
      </c>
      <c r="E2" s="17">
        <v>23.81</v>
      </c>
      <c r="F2" s="25"/>
      <c r="G2" s="18">
        <v>0.86</v>
      </c>
      <c r="H2" s="26"/>
      <c r="I2" s="27">
        <v>20.758400000000002</v>
      </c>
      <c r="J2" s="27">
        <v>4.6200000000000005E-2</v>
      </c>
    </row>
    <row r="3" spans="1:10" s="16" customFormat="1" ht="17" customHeight="1" x14ac:dyDescent="0.15">
      <c r="A3" s="23" t="s">
        <v>48</v>
      </c>
      <c r="B3" s="28">
        <v>200</v>
      </c>
      <c r="C3" s="25">
        <v>750</v>
      </c>
      <c r="D3" s="17">
        <v>1.4370000000000001</v>
      </c>
      <c r="E3" s="17">
        <v>0.5</v>
      </c>
      <c r="F3" s="25"/>
      <c r="G3" s="18">
        <v>0.94</v>
      </c>
      <c r="H3" s="26"/>
      <c r="I3" s="27">
        <v>21.845537999999998</v>
      </c>
      <c r="J3" s="27">
        <v>4.2146666666666666E-2</v>
      </c>
    </row>
    <row r="4" spans="1:10" s="16" customFormat="1" ht="17" customHeight="1" x14ac:dyDescent="0.15">
      <c r="A4" s="23" t="s">
        <v>49</v>
      </c>
      <c r="B4" s="28">
        <v>500</v>
      </c>
      <c r="C4" s="25">
        <v>480</v>
      </c>
      <c r="D4" s="17">
        <v>1.4370000000000001</v>
      </c>
      <c r="E4" s="17">
        <v>0.5</v>
      </c>
      <c r="F4" s="25"/>
      <c r="G4" s="25">
        <v>94</v>
      </c>
      <c r="H4" s="26"/>
      <c r="I4" s="27">
        <v>39.332799999999999</v>
      </c>
      <c r="J4" s="27">
        <v>0.1050625</v>
      </c>
    </row>
    <row r="5" spans="1:10" s="16" customFormat="1" ht="11" x14ac:dyDescent="0.15">
      <c r="A5" s="29" t="s">
        <v>50</v>
      </c>
      <c r="B5" s="29">
        <v>50</v>
      </c>
      <c r="C5" s="29"/>
      <c r="D5" s="19">
        <v>1.8</v>
      </c>
      <c r="E5" s="29"/>
      <c r="F5" s="29"/>
      <c r="G5" s="29"/>
      <c r="H5" s="29"/>
      <c r="I5" s="29">
        <v>8.444799999999999</v>
      </c>
      <c r="J5" s="29"/>
    </row>
    <row r="6" spans="1:10" s="16" customFormat="1" ht="11" x14ac:dyDescent="0.15">
      <c r="A6" s="29"/>
      <c r="B6" s="29"/>
      <c r="C6" s="29"/>
      <c r="D6" s="29"/>
      <c r="E6" s="29"/>
      <c r="F6" s="29"/>
      <c r="G6" s="29"/>
      <c r="H6" s="29"/>
      <c r="I6" s="29"/>
      <c r="J6" s="29"/>
    </row>
    <row r="7" spans="1:10" s="16" customFormat="1" ht="11" x14ac:dyDescent="0.15"/>
    <row r="8" spans="1:10" s="16" customFormat="1" ht="11" x14ac:dyDescent="0.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4D0A-572E-E042-A8DB-CF0029662455}">
  <dimension ref="B2:R19"/>
  <sheetViews>
    <sheetView zoomScale="254" workbookViewId="0">
      <selection activeCell="J3" sqref="J3:J17"/>
    </sheetView>
  </sheetViews>
  <sheetFormatPr baseColWidth="10" defaultRowHeight="13" x14ac:dyDescent="0.15"/>
  <cols>
    <col min="3" max="3" width="16.796875" customWidth="1"/>
    <col min="4" max="4" width="17.19921875" customWidth="1"/>
    <col min="6" max="6" width="21" customWidth="1"/>
    <col min="8" max="8" width="2.796875" customWidth="1"/>
    <col min="9" max="9" width="11.19921875" customWidth="1"/>
    <col min="10" max="10" width="9.796875" customWidth="1"/>
    <col min="11" max="11" width="14.59765625" customWidth="1"/>
    <col min="12" max="12" width="17.3984375" customWidth="1"/>
    <col min="13" max="13" width="16.19921875" customWidth="1"/>
    <col min="14" max="14" width="18" customWidth="1"/>
    <col min="15" max="15" width="17" customWidth="1"/>
    <col min="16" max="16" width="14.796875" customWidth="1"/>
    <col min="17" max="17" width="17.19921875" customWidth="1"/>
    <col min="18" max="18" width="16.19921875" customWidth="1"/>
  </cols>
  <sheetData>
    <row r="2" spans="2:18" ht="38" customHeight="1" x14ac:dyDescent="0.15">
      <c r="B2" s="2" t="s">
        <v>2</v>
      </c>
      <c r="C2" s="2" t="s">
        <v>4</v>
      </c>
      <c r="D2" s="2" t="s">
        <v>23</v>
      </c>
      <c r="E2" s="2" t="s">
        <v>0</v>
      </c>
      <c r="F2" s="3" t="s">
        <v>21</v>
      </c>
      <c r="G2" s="2" t="s">
        <v>20</v>
      </c>
      <c r="H2" s="11"/>
      <c r="I2" s="2" t="s">
        <v>26</v>
      </c>
      <c r="J2" s="2" t="s">
        <v>25</v>
      </c>
      <c r="K2" s="2" t="s">
        <v>24</v>
      </c>
      <c r="L2" s="2" t="s">
        <v>44</v>
      </c>
      <c r="M2" s="3" t="s">
        <v>28</v>
      </c>
      <c r="N2" s="3" t="s">
        <v>29</v>
      </c>
      <c r="O2" s="3" t="s">
        <v>30</v>
      </c>
      <c r="P2" s="3" t="s">
        <v>31</v>
      </c>
      <c r="Q2" s="3"/>
    </row>
    <row r="3" spans="2:18" x14ac:dyDescent="0.15">
      <c r="B3" s="4" t="s">
        <v>5</v>
      </c>
      <c r="C3" s="5">
        <v>150</v>
      </c>
      <c r="D3" s="5">
        <v>500</v>
      </c>
      <c r="E3" s="6">
        <f>C3/D3</f>
        <v>0.3</v>
      </c>
      <c r="F3" s="7">
        <v>23.1</v>
      </c>
      <c r="G3" s="7">
        <v>4.6200000000000005E-2</v>
      </c>
      <c r="H3" s="12"/>
      <c r="I3">
        <v>76</v>
      </c>
      <c r="J3">
        <f>36*I3</f>
        <v>2736</v>
      </c>
      <c r="K3">
        <v>6</v>
      </c>
      <c r="L3">
        <v>1</v>
      </c>
      <c r="M3">
        <f>F3*K3</f>
        <v>138.60000000000002</v>
      </c>
      <c r="N3">
        <f>F3*K3</f>
        <v>138.60000000000002</v>
      </c>
      <c r="O3">
        <f>1.2*N3</f>
        <v>166.32000000000002</v>
      </c>
      <c r="P3">
        <f>O3/K3</f>
        <v>27.720000000000002</v>
      </c>
      <c r="Q3">
        <f>12.5*P3</f>
        <v>346.50000000000006</v>
      </c>
      <c r="R3">
        <v>936</v>
      </c>
    </row>
    <row r="4" spans="2:18" x14ac:dyDescent="0.15">
      <c r="B4" s="4" t="s">
        <v>6</v>
      </c>
      <c r="C4" s="5">
        <v>150</v>
      </c>
      <c r="D4" s="5">
        <v>750</v>
      </c>
      <c r="E4" s="6">
        <f t="shared" ref="E4:E17" si="0">C4/D4</f>
        <v>0.2</v>
      </c>
      <c r="F4" s="7">
        <v>31.61</v>
      </c>
      <c r="G4" s="7">
        <v>4.2146666666666666E-2</v>
      </c>
      <c r="H4" s="12"/>
      <c r="I4">
        <v>76</v>
      </c>
      <c r="J4">
        <f t="shared" ref="J4:J17" si="1">36*I4</f>
        <v>2736</v>
      </c>
      <c r="K4">
        <v>4</v>
      </c>
      <c r="L4">
        <v>1</v>
      </c>
      <c r="M4">
        <f t="shared" ref="M4:M17" si="2">F4*K4</f>
        <v>126.44</v>
      </c>
      <c r="N4">
        <f t="shared" ref="N4:N17" si="3">F4*K4</f>
        <v>126.44</v>
      </c>
      <c r="O4">
        <f t="shared" ref="O4:O17" si="4">1.2*N4</f>
        <v>151.72799999999998</v>
      </c>
      <c r="P4">
        <f t="shared" ref="P4:P17" si="5">O4/K4</f>
        <v>37.931999999999995</v>
      </c>
      <c r="Q4">
        <f t="shared" ref="Q4:Q17" si="6">12.5*P4</f>
        <v>474.14999999999992</v>
      </c>
      <c r="R4">
        <v>1280</v>
      </c>
    </row>
    <row r="5" spans="2:18" x14ac:dyDescent="0.15">
      <c r="B5" s="4" t="s">
        <v>7</v>
      </c>
      <c r="C5" s="5">
        <v>120</v>
      </c>
      <c r="D5" s="5">
        <v>480</v>
      </c>
      <c r="E5" s="6">
        <f t="shared" si="0"/>
        <v>0.25</v>
      </c>
      <c r="F5" s="7">
        <v>50.43</v>
      </c>
      <c r="G5" s="7">
        <v>0.1050625</v>
      </c>
      <c r="H5" s="12"/>
      <c r="I5">
        <v>76</v>
      </c>
      <c r="J5">
        <f t="shared" si="1"/>
        <v>2736</v>
      </c>
      <c r="K5">
        <v>6</v>
      </c>
      <c r="L5">
        <v>1</v>
      </c>
      <c r="M5">
        <f t="shared" si="2"/>
        <v>302.58</v>
      </c>
      <c r="N5">
        <f t="shared" si="3"/>
        <v>302.58</v>
      </c>
      <c r="O5">
        <f t="shared" si="4"/>
        <v>363.09599999999995</v>
      </c>
      <c r="P5">
        <f t="shared" si="5"/>
        <v>60.515999999999991</v>
      </c>
      <c r="Q5">
        <f t="shared" si="6"/>
        <v>756.44999999999993</v>
      </c>
      <c r="R5">
        <v>1500</v>
      </c>
    </row>
    <row r="6" spans="2:18" x14ac:dyDescent="0.15">
      <c r="B6" s="4" t="s">
        <v>8</v>
      </c>
      <c r="C6" s="5">
        <v>120</v>
      </c>
      <c r="D6" s="5">
        <v>480</v>
      </c>
      <c r="E6" s="6">
        <f t="shared" si="0"/>
        <v>0.25</v>
      </c>
      <c r="F6" s="7">
        <v>32.559999999999995</v>
      </c>
      <c r="G6" s="7">
        <v>6.7833333333333329E-2</v>
      </c>
      <c r="H6" s="12"/>
      <c r="I6">
        <v>76</v>
      </c>
      <c r="J6">
        <f t="shared" si="1"/>
        <v>2736</v>
      </c>
      <c r="K6">
        <v>6</v>
      </c>
      <c r="L6">
        <v>1</v>
      </c>
      <c r="M6">
        <f t="shared" si="2"/>
        <v>195.35999999999996</v>
      </c>
      <c r="N6">
        <f t="shared" si="3"/>
        <v>195.35999999999996</v>
      </c>
      <c r="O6">
        <f t="shared" si="4"/>
        <v>234.43199999999993</v>
      </c>
      <c r="P6">
        <f t="shared" si="5"/>
        <v>39.071999999999989</v>
      </c>
      <c r="Q6">
        <f t="shared" si="6"/>
        <v>488.39999999999986</v>
      </c>
      <c r="R6">
        <v>1320</v>
      </c>
    </row>
    <row r="7" spans="2:18" x14ac:dyDescent="0.15">
      <c r="B7" s="4" t="s">
        <v>9</v>
      </c>
      <c r="C7" s="5">
        <v>120</v>
      </c>
      <c r="D7" s="5">
        <v>480</v>
      </c>
      <c r="E7" s="6">
        <f t="shared" si="0"/>
        <v>0.25</v>
      </c>
      <c r="F7" s="7">
        <v>35.89</v>
      </c>
      <c r="G7" s="7">
        <v>7.4770833333333328E-2</v>
      </c>
      <c r="H7" s="12"/>
      <c r="I7">
        <v>76</v>
      </c>
      <c r="J7">
        <f t="shared" si="1"/>
        <v>2736</v>
      </c>
      <c r="K7">
        <v>6</v>
      </c>
      <c r="L7">
        <v>1</v>
      </c>
      <c r="M7">
        <f t="shared" si="2"/>
        <v>215.34</v>
      </c>
      <c r="N7">
        <f t="shared" si="3"/>
        <v>215.34</v>
      </c>
      <c r="O7">
        <f t="shared" si="4"/>
        <v>258.40800000000002</v>
      </c>
      <c r="P7">
        <f t="shared" si="5"/>
        <v>43.068000000000005</v>
      </c>
      <c r="Q7">
        <f t="shared" si="6"/>
        <v>538.35</v>
      </c>
      <c r="R7">
        <v>1453</v>
      </c>
    </row>
    <row r="8" spans="2:18" x14ac:dyDescent="0.15">
      <c r="B8" s="4" t="s">
        <v>10</v>
      </c>
      <c r="C8" s="5">
        <v>120</v>
      </c>
      <c r="D8" s="5">
        <v>600</v>
      </c>
      <c r="E8" s="6">
        <f t="shared" si="0"/>
        <v>0.2</v>
      </c>
      <c r="F8" s="7">
        <v>42.06</v>
      </c>
      <c r="G8" s="7">
        <v>7.010000000000001E-2</v>
      </c>
      <c r="H8" s="12"/>
      <c r="I8">
        <v>76</v>
      </c>
      <c r="J8">
        <f t="shared" si="1"/>
        <v>2736</v>
      </c>
      <c r="K8">
        <v>5</v>
      </c>
      <c r="L8">
        <v>1</v>
      </c>
      <c r="M8">
        <f t="shared" si="2"/>
        <v>210.3</v>
      </c>
      <c r="N8">
        <f t="shared" si="3"/>
        <v>210.3</v>
      </c>
      <c r="O8">
        <f t="shared" si="4"/>
        <v>252.36</v>
      </c>
      <c r="P8">
        <f t="shared" si="5"/>
        <v>50.472000000000001</v>
      </c>
      <c r="Q8">
        <f t="shared" si="6"/>
        <v>630.9</v>
      </c>
      <c r="R8">
        <v>1500</v>
      </c>
    </row>
    <row r="9" spans="2:18" x14ac:dyDescent="0.15">
      <c r="B9" s="4" t="s">
        <v>11</v>
      </c>
      <c r="C9" s="5">
        <v>120</v>
      </c>
      <c r="D9" s="5">
        <v>490</v>
      </c>
      <c r="E9" s="6">
        <f>C9/D9</f>
        <v>0.24489795918367346</v>
      </c>
      <c r="F9" s="7">
        <v>64.930000000000007</v>
      </c>
      <c r="G9" s="7">
        <v>0.13251020408163267</v>
      </c>
      <c r="H9" s="12"/>
      <c r="I9">
        <v>76</v>
      </c>
      <c r="J9">
        <f t="shared" si="1"/>
        <v>2736</v>
      </c>
      <c r="K9">
        <v>6</v>
      </c>
      <c r="L9">
        <v>1</v>
      </c>
      <c r="M9">
        <f t="shared" si="2"/>
        <v>389.58000000000004</v>
      </c>
      <c r="N9">
        <f t="shared" si="3"/>
        <v>389.58000000000004</v>
      </c>
      <c r="O9">
        <f t="shared" si="4"/>
        <v>467.49600000000004</v>
      </c>
      <c r="P9">
        <f t="shared" si="5"/>
        <v>77.916000000000011</v>
      </c>
      <c r="Q9">
        <f t="shared" si="6"/>
        <v>973.95000000000016</v>
      </c>
      <c r="R9">
        <v>1800</v>
      </c>
    </row>
    <row r="10" spans="2:18" x14ac:dyDescent="0.15">
      <c r="B10" s="4" t="s">
        <v>12</v>
      </c>
      <c r="C10" s="5">
        <v>120</v>
      </c>
      <c r="D10" s="5">
        <v>469</v>
      </c>
      <c r="E10" s="6">
        <f t="shared" si="0"/>
        <v>0.25586353944562901</v>
      </c>
      <c r="F10" s="7">
        <v>64.009999999999991</v>
      </c>
      <c r="G10" s="7">
        <v>0.13648187633262257</v>
      </c>
      <c r="H10" s="12"/>
      <c r="I10">
        <v>76</v>
      </c>
      <c r="J10">
        <f t="shared" si="1"/>
        <v>2736</v>
      </c>
      <c r="K10">
        <v>6</v>
      </c>
      <c r="L10">
        <v>1</v>
      </c>
      <c r="M10">
        <f t="shared" si="2"/>
        <v>384.05999999999995</v>
      </c>
      <c r="N10">
        <f t="shared" si="3"/>
        <v>384.05999999999995</v>
      </c>
      <c r="O10">
        <f t="shared" si="4"/>
        <v>460.8719999999999</v>
      </c>
      <c r="P10">
        <f t="shared" si="5"/>
        <v>76.811999999999983</v>
      </c>
      <c r="Q10">
        <f t="shared" si="6"/>
        <v>960.14999999999975</v>
      </c>
      <c r="R10">
        <v>1800</v>
      </c>
    </row>
    <row r="11" spans="2:18" x14ac:dyDescent="0.15">
      <c r="B11" s="4" t="s">
        <v>13</v>
      </c>
      <c r="C11" s="5">
        <v>150</v>
      </c>
      <c r="D11" s="5">
        <v>750</v>
      </c>
      <c r="E11" s="6">
        <f t="shared" si="0"/>
        <v>0.2</v>
      </c>
      <c r="F11" s="7">
        <v>53.550000000000004</v>
      </c>
      <c r="G11" s="7">
        <v>7.1400000000000005E-2</v>
      </c>
      <c r="H11" s="12"/>
      <c r="I11">
        <v>45</v>
      </c>
      <c r="J11">
        <f t="shared" si="1"/>
        <v>1620</v>
      </c>
      <c r="K11">
        <v>3</v>
      </c>
      <c r="L11">
        <v>1</v>
      </c>
      <c r="M11">
        <f t="shared" si="2"/>
        <v>160.65</v>
      </c>
      <c r="N11">
        <f t="shared" si="3"/>
        <v>160.65</v>
      </c>
      <c r="O11">
        <f t="shared" si="4"/>
        <v>192.78</v>
      </c>
      <c r="P11">
        <f t="shared" si="5"/>
        <v>64.260000000000005</v>
      </c>
      <c r="Q11">
        <f t="shared" si="6"/>
        <v>803.25000000000011</v>
      </c>
      <c r="R11">
        <v>1600</v>
      </c>
    </row>
    <row r="12" spans="2:18" x14ac:dyDescent="0.15">
      <c r="B12" s="8" t="s">
        <v>14</v>
      </c>
      <c r="C12" s="5">
        <v>120</v>
      </c>
      <c r="D12" s="5">
        <v>400</v>
      </c>
      <c r="E12" s="6">
        <f t="shared" si="0"/>
        <v>0.3</v>
      </c>
      <c r="F12" s="7">
        <v>123.38</v>
      </c>
      <c r="G12" s="7">
        <v>0.30845</v>
      </c>
      <c r="H12" s="12"/>
      <c r="I12">
        <v>45</v>
      </c>
      <c r="J12">
        <f t="shared" si="1"/>
        <v>1620</v>
      </c>
      <c r="K12">
        <v>5</v>
      </c>
      <c r="L12">
        <v>1</v>
      </c>
      <c r="M12">
        <f t="shared" si="2"/>
        <v>616.9</v>
      </c>
      <c r="N12">
        <f t="shared" si="3"/>
        <v>616.9</v>
      </c>
      <c r="O12">
        <f t="shared" si="4"/>
        <v>740.28</v>
      </c>
      <c r="P12">
        <f t="shared" si="5"/>
        <v>148.05599999999998</v>
      </c>
      <c r="Q12">
        <f t="shared" si="6"/>
        <v>1850.6999999999998</v>
      </c>
      <c r="R12">
        <v>2500</v>
      </c>
    </row>
    <row r="13" spans="2:18" x14ac:dyDescent="0.15">
      <c r="B13" s="8" t="s">
        <v>15</v>
      </c>
      <c r="C13" s="5">
        <v>120</v>
      </c>
      <c r="D13" s="5">
        <v>400</v>
      </c>
      <c r="E13" s="6">
        <f t="shared" si="0"/>
        <v>0.3</v>
      </c>
      <c r="F13" s="7">
        <v>77.12</v>
      </c>
      <c r="G13" s="7">
        <v>0.1928</v>
      </c>
      <c r="H13" s="12"/>
      <c r="I13">
        <v>45</v>
      </c>
      <c r="J13">
        <f t="shared" si="1"/>
        <v>1620</v>
      </c>
      <c r="K13">
        <v>5</v>
      </c>
      <c r="L13">
        <v>1</v>
      </c>
      <c r="M13">
        <f t="shared" si="2"/>
        <v>385.6</v>
      </c>
      <c r="N13">
        <f t="shared" si="3"/>
        <v>385.6</v>
      </c>
      <c r="O13">
        <f t="shared" si="4"/>
        <v>462.72</v>
      </c>
      <c r="P13">
        <f t="shared" si="5"/>
        <v>92.544000000000011</v>
      </c>
      <c r="Q13">
        <f t="shared" si="6"/>
        <v>1156.8000000000002</v>
      </c>
      <c r="R13">
        <v>2000</v>
      </c>
    </row>
    <row r="14" spans="2:18" x14ac:dyDescent="0.15">
      <c r="B14" s="4" t="s">
        <v>16</v>
      </c>
      <c r="C14" s="5">
        <v>144</v>
      </c>
      <c r="D14" s="5">
        <v>720</v>
      </c>
      <c r="E14" s="6">
        <f t="shared" si="0"/>
        <v>0.2</v>
      </c>
      <c r="F14" s="7">
        <v>106.47</v>
      </c>
      <c r="G14" s="7">
        <v>0.14787500000000001</v>
      </c>
      <c r="H14" s="12"/>
      <c r="I14">
        <v>45</v>
      </c>
      <c r="J14">
        <f t="shared" si="1"/>
        <v>1620</v>
      </c>
      <c r="K14">
        <v>3</v>
      </c>
      <c r="L14">
        <v>1</v>
      </c>
      <c r="M14">
        <f t="shared" si="2"/>
        <v>319.40999999999997</v>
      </c>
      <c r="N14">
        <f t="shared" si="3"/>
        <v>319.40999999999997</v>
      </c>
      <c r="O14">
        <f t="shared" si="4"/>
        <v>383.29199999999997</v>
      </c>
      <c r="P14">
        <f t="shared" si="5"/>
        <v>127.764</v>
      </c>
      <c r="Q14">
        <f t="shared" si="6"/>
        <v>1597.05</v>
      </c>
      <c r="R14">
        <v>2300</v>
      </c>
    </row>
    <row r="15" spans="2:18" x14ac:dyDescent="0.15">
      <c r="B15" s="4" t="s">
        <v>17</v>
      </c>
      <c r="C15" s="5">
        <v>84</v>
      </c>
      <c r="D15" s="5">
        <v>420</v>
      </c>
      <c r="E15" s="6">
        <f t="shared" si="0"/>
        <v>0.2</v>
      </c>
      <c r="F15" s="7">
        <v>178.94</v>
      </c>
      <c r="G15" s="7">
        <v>0.42604761904761906</v>
      </c>
      <c r="H15" s="12"/>
      <c r="I15">
        <v>109</v>
      </c>
      <c r="J15">
        <f t="shared" si="1"/>
        <v>3924</v>
      </c>
      <c r="K15">
        <v>10</v>
      </c>
      <c r="L15">
        <v>1</v>
      </c>
      <c r="M15">
        <f t="shared" si="2"/>
        <v>1789.4</v>
      </c>
      <c r="N15">
        <f t="shared" si="3"/>
        <v>1789.4</v>
      </c>
      <c r="O15">
        <f t="shared" si="4"/>
        <v>2147.2800000000002</v>
      </c>
      <c r="P15">
        <f t="shared" si="5"/>
        <v>214.72800000000001</v>
      </c>
      <c r="Q15">
        <f t="shared" si="6"/>
        <v>2684.1</v>
      </c>
      <c r="R15">
        <v>3500</v>
      </c>
    </row>
    <row r="16" spans="2:18" x14ac:dyDescent="0.15">
      <c r="B16" s="4" t="s">
        <v>18</v>
      </c>
      <c r="C16" s="5">
        <v>120</v>
      </c>
      <c r="D16" s="5">
        <v>600</v>
      </c>
      <c r="E16" s="6">
        <f t="shared" si="0"/>
        <v>0.2</v>
      </c>
      <c r="F16" s="7">
        <v>46.11</v>
      </c>
      <c r="G16" s="7">
        <v>7.6850000000000002E-2</v>
      </c>
      <c r="H16" s="12"/>
      <c r="I16">
        <v>109</v>
      </c>
      <c r="J16">
        <f t="shared" si="1"/>
        <v>3924</v>
      </c>
      <c r="K16">
        <v>7</v>
      </c>
      <c r="L16">
        <v>1</v>
      </c>
      <c r="M16">
        <f t="shared" si="2"/>
        <v>322.77</v>
      </c>
      <c r="N16">
        <f t="shared" si="3"/>
        <v>322.77</v>
      </c>
      <c r="O16">
        <f t="shared" si="4"/>
        <v>387.32399999999996</v>
      </c>
      <c r="P16">
        <f t="shared" si="5"/>
        <v>55.331999999999994</v>
      </c>
      <c r="Q16">
        <f t="shared" si="6"/>
        <v>691.64999999999986</v>
      </c>
      <c r="R16">
        <v>1867</v>
      </c>
    </row>
    <row r="17" spans="2:18" x14ac:dyDescent="0.15">
      <c r="B17" s="4" t="s">
        <v>19</v>
      </c>
      <c r="C17" s="5">
        <v>120</v>
      </c>
      <c r="D17" s="5">
        <v>600</v>
      </c>
      <c r="E17" s="6">
        <f t="shared" si="0"/>
        <v>0.2</v>
      </c>
      <c r="F17" s="7">
        <v>49.24</v>
      </c>
      <c r="G17" s="7">
        <v>8.2066666666666677E-2</v>
      </c>
      <c r="H17" s="12"/>
      <c r="I17">
        <v>109</v>
      </c>
      <c r="J17">
        <f t="shared" si="1"/>
        <v>3924</v>
      </c>
      <c r="K17">
        <v>7</v>
      </c>
      <c r="L17">
        <v>1</v>
      </c>
      <c r="M17">
        <f t="shared" si="2"/>
        <v>344.68</v>
      </c>
      <c r="N17">
        <f t="shared" si="3"/>
        <v>344.68</v>
      </c>
      <c r="O17">
        <f t="shared" si="4"/>
        <v>413.61599999999999</v>
      </c>
      <c r="P17">
        <f t="shared" si="5"/>
        <v>59.088000000000001</v>
      </c>
      <c r="Q17">
        <f t="shared" si="6"/>
        <v>738.6</v>
      </c>
      <c r="R17">
        <v>1995</v>
      </c>
    </row>
    <row r="18" spans="2:18" x14ac:dyDescent="0.15">
      <c r="K18" s="1" t="s">
        <v>42</v>
      </c>
      <c r="L18" s="1">
        <v>1</v>
      </c>
      <c r="M18" s="9" t="s">
        <v>43</v>
      </c>
    </row>
    <row r="19" spans="2:18" x14ac:dyDescent="0.15">
      <c r="B19" s="1" t="s">
        <v>22</v>
      </c>
      <c r="F19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E33E-2672-B542-B838-E02C1A87F7E8}">
  <dimension ref="A1:F9"/>
  <sheetViews>
    <sheetView zoomScale="400" workbookViewId="0">
      <selection activeCell="B9" sqref="B9"/>
    </sheetView>
  </sheetViews>
  <sheetFormatPr baseColWidth="10" defaultRowHeight="13" x14ac:dyDescent="0.15"/>
  <sheetData>
    <row r="1" spans="1:6" x14ac:dyDescent="0.15">
      <c r="A1" s="1" t="s">
        <v>32</v>
      </c>
      <c r="B1" s="1" t="s">
        <v>38</v>
      </c>
      <c r="C1" s="1" t="s">
        <v>39</v>
      </c>
      <c r="D1" s="1" t="s">
        <v>40</v>
      </c>
      <c r="E1" s="1"/>
      <c r="F1" s="1"/>
    </row>
    <row r="2" spans="1:6" x14ac:dyDescent="0.15">
      <c r="A2" s="1" t="s">
        <v>33</v>
      </c>
      <c r="B2">
        <v>82</v>
      </c>
      <c r="C2">
        <v>44</v>
      </c>
      <c r="D2">
        <v>30</v>
      </c>
    </row>
    <row r="3" spans="1:6" x14ac:dyDescent="0.15">
      <c r="A3" s="1" t="s">
        <v>34</v>
      </c>
      <c r="B3">
        <v>114</v>
      </c>
      <c r="C3">
        <v>79</v>
      </c>
      <c r="D3">
        <v>34</v>
      </c>
    </row>
    <row r="4" spans="1:6" x14ac:dyDescent="0.15">
      <c r="A4" s="1" t="s">
        <v>35</v>
      </c>
      <c r="B4">
        <v>109</v>
      </c>
      <c r="C4">
        <v>78</v>
      </c>
      <c r="D4">
        <v>51</v>
      </c>
    </row>
    <row r="5" spans="1:6" x14ac:dyDescent="0.15">
      <c r="A5" s="1" t="s">
        <v>36</v>
      </c>
      <c r="B5">
        <v>110</v>
      </c>
      <c r="C5">
        <v>74</v>
      </c>
      <c r="D5">
        <v>47</v>
      </c>
    </row>
    <row r="6" spans="1:6" x14ac:dyDescent="0.15">
      <c r="A6" s="1" t="s">
        <v>37</v>
      </c>
      <c r="B6">
        <v>128</v>
      </c>
      <c r="C6">
        <v>104</v>
      </c>
      <c r="D6">
        <v>62</v>
      </c>
    </row>
    <row r="7" spans="1:6" x14ac:dyDescent="0.15">
      <c r="B7">
        <f>SUM(B2:B6)</f>
        <v>543</v>
      </c>
      <c r="C7">
        <f>SUM(C2:C6)</f>
        <v>379</v>
      </c>
      <c r="D7">
        <f>SUM(D2:D6)</f>
        <v>224</v>
      </c>
    </row>
    <row r="8" spans="1:6" x14ac:dyDescent="0.15">
      <c r="A8" s="1" t="s">
        <v>41</v>
      </c>
      <c r="B8" s="9">
        <f>B7/5</f>
        <v>108.6</v>
      </c>
      <c r="C8" s="9">
        <f t="shared" ref="C8:D8" si="0">C7/5</f>
        <v>75.8</v>
      </c>
      <c r="D8" s="9">
        <f t="shared" si="0"/>
        <v>44.8</v>
      </c>
    </row>
    <row r="9" spans="1:6" x14ac:dyDescent="0.15">
      <c r="B9">
        <v>109</v>
      </c>
      <c r="C9">
        <v>76</v>
      </c>
      <c r="D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 1</vt:lpstr>
      <vt:lpstr>SHEET 2</vt:lpstr>
      <vt:lpstr>SHEET 3</vt:lpstr>
      <vt:lpstr>SHEET 4</vt:lpstr>
      <vt:lpstr>SHEET 5</vt:lpstr>
      <vt:lpstr>3 Years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dc:description/>
  <cp:lastModifiedBy>Dr. Adam-Yakub Abdul-Nasir-Deen</cp:lastModifiedBy>
  <dcterms:created xsi:type="dcterms:W3CDTF">2026-06-07T11:53:51Z</dcterms:created>
  <dcterms:modified xsi:type="dcterms:W3CDTF">2026-06-16T20:19:31Z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2026-03-23T00:00:00Z</vt:filetime>
  </property>
  <property fmtid="{D5CDD505-2E9C-101B-9397-08002B2CF9AE}" pid="3" name="Creator">
    <vt:lpwstr>WPS Spreadsheets</vt:lpwstr>
  </property>
  <property fmtid="{D5CDD505-2E9C-101B-9397-08002B2CF9AE}" pid="4" name="LastSaved">
    <vt:filetime>2026-06-07T00:00:00Z</vt:filetime>
  </property>
  <property fmtid="{D5CDD505-2E9C-101B-9397-08002B2CF9AE}" pid="5" name="Producer">
    <vt:lpwstr>macOS Version 15.0.1 (Build 24A348) Quartz PDFContext</vt:lpwstr>
  </property>
  <property fmtid="{D5CDD505-2E9C-101B-9397-08002B2CF9AE}" pid="6" name="SourceModified">
    <vt:lpwstr>D:20260323112406+08'00'</vt:lpwstr>
  </property>
</Properties>
</file>